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df306d6984b8b22/Documents/GitHub/Wix-Products/docs/"/>
    </mc:Choice>
  </mc:AlternateContent>
  <xr:revisionPtr revIDLastSave="78" documentId="11_9366575A5C97A4B9A682E90EB52382DC8EDB80AE" xr6:coauthVersionLast="47" xr6:coauthVersionMax="47" xr10:uidLastSave="{12899D02-A4AE-4AA3-8F9E-42F3D68DE773}"/>
  <bookViews>
    <workbookView xWindow="-90" yWindow="0" windowWidth="19380" windowHeight="2097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9" i="1" l="1"/>
  <c r="A140" i="1"/>
  <c r="A141" i="1"/>
  <c r="A142" i="1"/>
  <c r="A143" i="1"/>
  <c r="A144" i="1"/>
  <c r="A145" i="1"/>
  <c r="A146" i="1"/>
  <c r="A147" i="1"/>
  <c r="A148" i="1"/>
  <c r="A150" i="1"/>
  <c r="A151" i="1"/>
  <c r="A152" i="1"/>
  <c r="A13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18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37" i="1"/>
  <c r="A74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40" i="1"/>
  <c r="P46" i="1"/>
  <c r="P41" i="1"/>
  <c r="P42" i="1"/>
  <c r="P43" i="1"/>
  <c r="P44" i="1"/>
  <c r="P45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40" i="1"/>
</calcChain>
</file>

<file path=xl/sharedStrings.xml><?xml version="1.0" encoding="utf-8"?>
<sst xmlns="http://schemas.openxmlformats.org/spreadsheetml/2006/main" count="301" uniqueCount="206">
  <si>
    <r>
      <rPr>
        <b/>
        <sz val="24"/>
        <rFont val="Calibri"/>
        <family val="2"/>
      </rPr>
      <t>GOLDEN WEST</t>
    </r>
  </si>
  <si>
    <r>
      <rPr>
        <b/>
        <sz val="11.5"/>
        <rFont val="Calibri"/>
        <family val="2"/>
      </rPr>
      <t>Model #</t>
    </r>
  </si>
  <si>
    <r>
      <rPr>
        <b/>
        <sz val="11.5"/>
        <rFont val="Calibri"/>
        <family val="2"/>
      </rPr>
      <t>Size</t>
    </r>
  </si>
  <si>
    <r>
      <rPr>
        <b/>
        <sz val="11.5"/>
        <rFont val="Calibri"/>
        <family val="2"/>
      </rPr>
      <t>SQFT</t>
    </r>
  </si>
  <si>
    <r>
      <rPr>
        <b/>
        <sz val="11.5"/>
        <rFont val="Calibri"/>
        <family val="2"/>
      </rPr>
      <t>Retail Price</t>
    </r>
  </si>
  <si>
    <r>
      <rPr>
        <b/>
        <sz val="11.5"/>
        <rFont val="Calibri"/>
        <family val="2"/>
      </rPr>
      <t>Price Per Sqft</t>
    </r>
  </si>
  <si>
    <r>
      <rPr>
        <b/>
        <i/>
        <sz val="11.5"/>
        <rFont val="Calibri"/>
        <family val="2"/>
      </rPr>
      <t>Dream "Silver"</t>
    </r>
  </si>
  <si>
    <r>
      <rPr>
        <sz val="11.5"/>
        <rFont val="Calibri"/>
        <family val="2"/>
      </rPr>
      <t>13' 6" WIDE</t>
    </r>
  </si>
  <si>
    <r>
      <rPr>
        <sz val="11.5"/>
        <rFont val="Calibri"/>
        <family val="2"/>
      </rPr>
      <t>15' WIDE</t>
    </r>
  </si>
  <si>
    <r>
      <rPr>
        <sz val="11.5"/>
        <rFont val="Calibri"/>
        <family val="2"/>
      </rPr>
      <t>20' WIDE</t>
    </r>
  </si>
  <si>
    <r>
      <rPr>
        <sz val="11.5"/>
        <rFont val="Calibri"/>
        <family val="2"/>
      </rPr>
      <t>24' WIDE</t>
    </r>
  </si>
  <si>
    <r>
      <rPr>
        <sz val="11.5"/>
        <rFont val="Calibri"/>
        <family val="2"/>
      </rPr>
      <t>27' WIDE</t>
    </r>
  </si>
  <si>
    <r>
      <rPr>
        <b/>
        <i/>
        <sz val="11.5"/>
        <rFont val="Calibri"/>
        <family val="2"/>
      </rPr>
      <t xml:space="preserve">Inspiration "Gold" - </t>
    </r>
    <r>
      <rPr>
        <b/>
        <i/>
        <sz val="11.5"/>
        <color rgb="FFFF0000"/>
        <rFont val="Calibri"/>
        <family val="2"/>
      </rPr>
      <t>Pure Plus Included in the Base</t>
    </r>
  </si>
  <si>
    <r>
      <rPr>
        <sz val="11.5"/>
        <rFont val="Calibri"/>
        <family val="2"/>
      </rPr>
      <t>ING 565F - SCARLET OAK</t>
    </r>
  </si>
  <si>
    <r>
      <rPr>
        <sz val="11.5"/>
        <rFont val="Calibri"/>
        <family val="2"/>
      </rPr>
      <t>INS 605F - GRAND NOBLE</t>
    </r>
  </si>
  <si>
    <r>
      <rPr>
        <sz val="11.5"/>
        <rFont val="Calibri"/>
        <family val="2"/>
      </rPr>
      <t>ING 662F - SHAGBARK HICKORY</t>
    </r>
  </si>
  <si>
    <r>
      <rPr>
        <sz val="11.5"/>
        <rFont val="Calibri"/>
        <family val="2"/>
      </rPr>
      <t>ING 684F - WESTERN LARCH</t>
    </r>
  </si>
  <si>
    <r>
      <rPr>
        <sz val="11.5"/>
        <rFont val="Calibri"/>
        <family val="2"/>
      </rPr>
      <t>ING 762G - GIANT SEQUOIA</t>
    </r>
  </si>
  <si>
    <r>
      <rPr>
        <sz val="11.5"/>
        <rFont val="Calibri"/>
        <family val="2"/>
      </rPr>
      <t>30' WIDE</t>
    </r>
  </si>
  <si>
    <r>
      <rPr>
        <sz val="11.5"/>
        <rFont val="Calibri"/>
        <family val="2"/>
      </rPr>
      <t>ING 764G - WEEPING WILLOW</t>
    </r>
  </si>
  <si>
    <r>
      <rPr>
        <sz val="11.5"/>
        <rFont val="Calibri"/>
        <family val="2"/>
      </rPr>
      <t>TRIPLE WIDE</t>
    </r>
  </si>
  <si>
    <r>
      <rPr>
        <sz val="11.5"/>
        <rFont val="Calibri"/>
        <family val="2"/>
      </rPr>
      <t>ING 602K - GENERAL SHERMAN</t>
    </r>
  </si>
  <si>
    <r>
      <rPr>
        <sz val="11.5"/>
        <rFont val="Calibri"/>
        <family val="2"/>
      </rPr>
      <t>ING 621K - TAMARACK</t>
    </r>
  </si>
  <si>
    <r>
      <rPr>
        <b/>
        <i/>
        <sz val="11.5"/>
        <rFont val="Calibri"/>
        <family val="2"/>
      </rPr>
      <t>Patriot</t>
    </r>
  </si>
  <si>
    <r>
      <rPr>
        <sz val="11.5"/>
        <rFont val="Calibri"/>
        <family val="2"/>
      </rPr>
      <t>Patriot 56'</t>
    </r>
  </si>
  <si>
    <r>
      <rPr>
        <b/>
        <i/>
        <sz val="11.5"/>
        <rFont val="Calibri"/>
        <family val="2"/>
      </rPr>
      <t>Cross Mod</t>
    </r>
  </si>
  <si>
    <r>
      <rPr>
        <sz val="11.5"/>
        <rFont val="Calibri"/>
        <family val="2"/>
      </rPr>
      <t>Hawthorne</t>
    </r>
  </si>
  <si>
    <r>
      <rPr>
        <b/>
        <i/>
        <sz val="11.5"/>
        <rFont val="Calibri"/>
        <family val="2"/>
      </rPr>
      <t>Zero Lot Line (Duplex)</t>
    </r>
  </si>
  <si>
    <r>
      <rPr>
        <sz val="11.5"/>
        <rFont val="Calibri"/>
        <family val="2"/>
      </rPr>
      <t xml:space="preserve">DRM </t>
    </r>
    <r>
      <rPr>
        <b/>
        <sz val="11.5"/>
        <rFont val="Calibri"/>
        <family val="2"/>
      </rPr>
      <t>HUD Duplex (1080sq.ft Ea.)</t>
    </r>
  </si>
  <si>
    <r>
      <rPr>
        <sz val="11.5"/>
        <rFont val="Calibri"/>
        <family val="2"/>
      </rPr>
      <t>30x72</t>
    </r>
  </si>
  <si>
    <r>
      <rPr>
        <b/>
        <i/>
        <sz val="11.5"/>
        <rFont val="Calibri"/>
        <family val="2"/>
      </rPr>
      <t>Park Model</t>
    </r>
  </si>
  <si>
    <r>
      <rPr>
        <sz val="11.5"/>
        <rFont val="Calibri"/>
        <family val="2"/>
      </rPr>
      <t>DRS 331M (The Lodge)</t>
    </r>
  </si>
  <si>
    <r>
      <rPr>
        <sz val="11.5"/>
        <rFont val="Calibri"/>
        <family val="2"/>
      </rPr>
      <t>12' x 33'</t>
    </r>
  </si>
  <si>
    <r>
      <rPr>
        <b/>
        <sz val="11.5"/>
        <rFont val="Calibri"/>
        <family val="2"/>
      </rPr>
      <t>***Includes Upgrades, Delivery, Setup, Propane Tank, &amp; Mini Split***</t>
    </r>
  </si>
  <si>
    <r>
      <rPr>
        <b/>
        <sz val="24"/>
        <rFont val="Calibri"/>
        <family val="2"/>
      </rPr>
      <t>MARLETTE</t>
    </r>
  </si>
  <si>
    <r>
      <rPr>
        <b/>
        <sz val="9.5"/>
        <rFont val="Calibri"/>
        <family val="2"/>
      </rPr>
      <t>Model #</t>
    </r>
  </si>
  <si>
    <r>
      <rPr>
        <b/>
        <sz val="9.5"/>
        <rFont val="Calibri"/>
        <family val="2"/>
      </rPr>
      <t>Size</t>
    </r>
  </si>
  <si>
    <r>
      <rPr>
        <b/>
        <sz val="9.5"/>
        <rFont val="Calibri"/>
        <family val="2"/>
      </rPr>
      <t>SQFT</t>
    </r>
  </si>
  <si>
    <r>
      <rPr>
        <b/>
        <sz val="9.5"/>
        <rFont val="Calibri"/>
        <family val="2"/>
      </rPr>
      <t>Retail Price</t>
    </r>
  </si>
  <si>
    <r>
      <rPr>
        <b/>
        <sz val="9.5"/>
        <rFont val="Calibri"/>
        <family val="2"/>
      </rPr>
      <t>Price Per Sqft</t>
    </r>
  </si>
  <si>
    <r>
      <rPr>
        <b/>
        <i/>
        <sz val="9.5"/>
        <rFont val="Calibri"/>
        <family val="2"/>
      </rPr>
      <t>New Columbia River Collection (COL)</t>
    </r>
  </si>
  <si>
    <r>
      <rPr>
        <sz val="9.5"/>
        <rFont val="Calibri"/>
        <family val="2"/>
      </rPr>
      <t>13' 4" x 36'</t>
    </r>
  </si>
  <si>
    <r>
      <rPr>
        <sz val="9.5"/>
        <rFont val="Calibri"/>
        <family val="2"/>
      </rPr>
      <t>13' 4" x 40'</t>
    </r>
  </si>
  <si>
    <r>
      <rPr>
        <sz val="9.5"/>
        <rFont val="Calibri"/>
        <family val="2"/>
      </rPr>
      <t>13' 4" x 48'</t>
    </r>
  </si>
  <si>
    <r>
      <rPr>
        <sz val="9.5"/>
        <rFont val="Calibri"/>
        <family val="2"/>
      </rPr>
      <t>13' 4" x 56'</t>
    </r>
  </si>
  <si>
    <r>
      <rPr>
        <sz val="9.5"/>
        <rFont val="Calibri"/>
        <family val="2"/>
      </rPr>
      <t>13' 4" x 60'</t>
    </r>
  </si>
  <si>
    <r>
      <rPr>
        <sz val="9.5"/>
        <rFont val="Calibri"/>
        <family val="2"/>
      </rPr>
      <t>15' x 48'</t>
    </r>
  </si>
  <si>
    <r>
      <rPr>
        <sz val="9.5"/>
        <rFont val="Calibri"/>
        <family val="2"/>
      </rPr>
      <t>15' x 56'</t>
    </r>
  </si>
  <si>
    <r>
      <rPr>
        <sz val="9.5"/>
        <rFont val="Calibri"/>
        <family val="2"/>
      </rPr>
      <t>15' x 60</t>
    </r>
  </si>
  <si>
    <r>
      <rPr>
        <sz val="9.5"/>
        <rFont val="Calibri"/>
        <family val="2"/>
      </rPr>
      <t>15' x 66'</t>
    </r>
  </si>
  <si>
    <r>
      <rPr>
        <sz val="9.5"/>
        <rFont val="Calibri"/>
        <family val="2"/>
      </rPr>
      <t>15' x 72'</t>
    </r>
  </si>
  <si>
    <r>
      <rPr>
        <sz val="9.5"/>
        <rFont val="Calibri"/>
        <family val="2"/>
      </rPr>
      <t>26' 8" x 44'</t>
    </r>
  </si>
  <si>
    <r>
      <rPr>
        <sz val="9.5"/>
        <rFont val="Calibri"/>
        <family val="2"/>
      </rPr>
      <t>26' 8" x 48'</t>
    </r>
  </si>
  <si>
    <r>
      <rPr>
        <sz val="9.5"/>
        <rFont val="Calibri"/>
        <family val="2"/>
      </rPr>
      <t>26' 8" x 56'</t>
    </r>
  </si>
  <si>
    <r>
      <rPr>
        <sz val="9.5"/>
        <rFont val="Calibri"/>
        <family val="2"/>
      </rPr>
      <t>26' 8" x 60'</t>
    </r>
  </si>
  <si>
    <r>
      <rPr>
        <sz val="9.5"/>
        <rFont val="Calibri"/>
        <family val="2"/>
      </rPr>
      <t>26' 8" x 68'</t>
    </r>
  </si>
  <si>
    <r>
      <rPr>
        <sz val="9.5"/>
        <rFont val="Calibri"/>
        <family val="2"/>
      </rPr>
      <t>30' x 70'</t>
    </r>
  </si>
  <si>
    <r>
      <rPr>
        <sz val="9.5"/>
        <rFont val="Calibri"/>
        <family val="2"/>
      </rPr>
      <t>24' x 36'</t>
    </r>
  </si>
  <si>
    <r>
      <rPr>
        <sz val="9.5"/>
        <rFont val="Calibri"/>
        <family val="2"/>
      </rPr>
      <t>24' x 44'</t>
    </r>
  </si>
  <si>
    <r>
      <rPr>
        <sz val="9.5"/>
        <rFont val="Calibri"/>
        <family val="2"/>
      </rPr>
      <t>24' x 56'</t>
    </r>
  </si>
  <si>
    <r>
      <rPr>
        <sz val="9.5"/>
        <rFont val="Calibri"/>
        <family val="2"/>
      </rPr>
      <t>19' 8" x 44' / 41' 4"</t>
    </r>
  </si>
  <si>
    <r>
      <rPr>
        <b/>
        <i/>
        <sz val="9.5"/>
        <rFont val="Calibri"/>
        <family val="2"/>
      </rPr>
      <t>New "Supersize" Columbia River Collection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</si>
  <si>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 48'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</si>
  <si>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48'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</si>
  <si>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56'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</si>
  <si>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60'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</si>
  <si>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68'</t>
    </r>
  </si>
  <si>
    <r>
      <rPr>
        <sz val="9.5"/>
        <color rgb="FFFF0000"/>
        <rFont val="Calibri"/>
        <family val="2"/>
      </rPr>
      <t xml:space="preserve">26' 8" </t>
    </r>
    <r>
      <rPr>
        <sz val="9.5"/>
        <rFont val="Calibri"/>
        <family val="2"/>
      </rPr>
      <t>x 36'</t>
    </r>
  </si>
  <si>
    <r>
      <rPr>
        <sz val="9.5"/>
        <color rgb="FFFF0000"/>
        <rFont val="Calibri"/>
        <family val="2"/>
      </rPr>
      <t xml:space="preserve">30' </t>
    </r>
    <r>
      <rPr>
        <sz val="9.5"/>
        <rFont val="Calibri"/>
        <family val="2"/>
      </rPr>
      <t>x 72'</t>
    </r>
  </si>
  <si>
    <r>
      <rPr>
        <sz val="9.5"/>
        <color rgb="FFFF0000"/>
        <rFont val="Calibri"/>
        <family val="2"/>
      </rPr>
      <t xml:space="preserve">26' 8" </t>
    </r>
    <r>
      <rPr>
        <sz val="9.5"/>
        <rFont val="Calibri"/>
        <family val="2"/>
      </rPr>
      <t>x 56'</t>
    </r>
  </si>
  <si>
    <r>
      <rPr>
        <sz val="9.5"/>
        <color rgb="FFFF0000"/>
        <rFont val="Calibri"/>
        <family val="2"/>
      </rPr>
      <t xml:space="preserve">24' </t>
    </r>
    <r>
      <rPr>
        <sz val="9.5"/>
        <rFont val="Calibri"/>
        <family val="2"/>
      </rPr>
      <t>x 44' / 41' 4"</t>
    </r>
  </si>
  <si>
    <r>
      <rPr>
        <b/>
        <sz val="9.5"/>
        <rFont val="Calibri"/>
        <family val="2"/>
      </rPr>
      <t>Imagine (IMG)</t>
    </r>
  </si>
  <si>
    <r>
      <rPr>
        <sz val="9.5"/>
        <rFont val="Calibri"/>
        <family val="2"/>
      </rPr>
      <t>26' 8" x 72'</t>
    </r>
  </si>
  <si>
    <r>
      <rPr>
        <sz val="9.5"/>
        <rFont val="Calibri"/>
        <family val="2"/>
      </rPr>
      <t>19' 8" x 44'/ 41' 4"</t>
    </r>
  </si>
  <si>
    <r>
      <rPr>
        <b/>
        <i/>
        <sz val="9.5"/>
        <rFont val="Calibri"/>
        <family val="2"/>
      </rPr>
      <t>New Majestic Collection (MAJ)</t>
    </r>
  </si>
  <si>
    <r>
      <rPr>
        <sz val="9.5"/>
        <rFont val="Calibri"/>
        <family val="2"/>
      </rPr>
      <t>9584-S</t>
    </r>
  </si>
  <si>
    <r>
      <rPr>
        <sz val="9.5"/>
        <rFont val="Calibri"/>
        <family val="2"/>
      </rPr>
      <t>40' x 57' 4"</t>
    </r>
  </si>
  <si>
    <r>
      <rPr>
        <sz val="9.5"/>
        <rFont val="Calibri"/>
        <family val="2"/>
      </rPr>
      <t>9585-S</t>
    </r>
  </si>
  <si>
    <r>
      <rPr>
        <sz val="9.5"/>
        <rFont val="Calibri"/>
        <family val="2"/>
      </rPr>
      <t>40' x 70'</t>
    </r>
  </si>
  <si>
    <r>
      <rPr>
        <sz val="9.5"/>
        <rFont val="Calibri"/>
        <family val="2"/>
      </rPr>
      <t>9588-S</t>
    </r>
  </si>
  <si>
    <r>
      <rPr>
        <sz val="9.5"/>
        <rFont val="Calibri"/>
        <family val="2"/>
      </rPr>
      <t>40' x 56'</t>
    </r>
  </si>
  <si>
    <r>
      <rPr>
        <sz val="9.5"/>
        <rFont val="Calibri"/>
        <family val="2"/>
      </rPr>
      <t>9590-S</t>
    </r>
  </si>
  <si>
    <r>
      <rPr>
        <sz val="9.5"/>
        <rFont val="Calibri"/>
        <family val="2"/>
      </rPr>
      <t>26' 8" x 52'</t>
    </r>
  </si>
  <si>
    <r>
      <rPr>
        <sz val="9.5"/>
        <rFont val="Calibri"/>
        <family val="2"/>
      </rPr>
      <t>9593-S</t>
    </r>
  </si>
  <si>
    <r>
      <rPr>
        <sz val="9.5"/>
        <rFont val="Calibri"/>
        <family val="2"/>
      </rPr>
      <t>40' x 64'</t>
    </r>
  </si>
  <si>
    <r>
      <rPr>
        <sz val="9.5"/>
        <rFont val="Calibri"/>
        <family val="2"/>
      </rPr>
      <t>9596-S</t>
    </r>
  </si>
  <si>
    <r>
      <rPr>
        <sz val="9.5"/>
        <rFont val="Calibri"/>
        <family val="2"/>
      </rPr>
      <t>26' 8" x 70'</t>
    </r>
  </si>
  <si>
    <r>
      <rPr>
        <sz val="9.5"/>
        <rFont val="Calibri"/>
        <family val="2"/>
      </rPr>
      <t>9600-S</t>
    </r>
  </si>
  <si>
    <r>
      <rPr>
        <sz val="9.5"/>
        <rFont val="Calibri"/>
        <family val="2"/>
      </rPr>
      <t>9601-S</t>
    </r>
  </si>
  <si>
    <r>
      <rPr>
        <sz val="9.5"/>
        <rFont val="Calibri"/>
        <family val="2"/>
      </rPr>
      <t>9602-S</t>
    </r>
  </si>
  <si>
    <r>
      <rPr>
        <sz val="9.5"/>
        <rFont val="Calibri"/>
        <family val="2"/>
      </rPr>
      <t>9603-S</t>
    </r>
  </si>
  <si>
    <r>
      <rPr>
        <sz val="9.5"/>
        <rFont val="Calibri"/>
        <family val="2"/>
      </rPr>
      <t>30' x 66'</t>
    </r>
  </si>
  <si>
    <r>
      <rPr>
        <sz val="9.5"/>
        <rFont val="Calibri"/>
        <family val="2"/>
      </rPr>
      <t>9604-S</t>
    </r>
  </si>
  <si>
    <r>
      <rPr>
        <b/>
        <i/>
        <sz val="9.5"/>
        <rFont val="Calibri"/>
        <family val="2"/>
      </rPr>
      <t>New "Supersize" Majestic Collection</t>
    </r>
  </si>
  <si>
    <r>
      <rPr>
        <i/>
        <sz val="9.5"/>
        <color rgb="FFFF0000"/>
        <rFont val="Calibri"/>
        <family val="2"/>
      </rPr>
      <t xml:space="preserve">30' </t>
    </r>
    <r>
      <rPr>
        <i/>
        <sz val="9.5"/>
        <rFont val="Calibri"/>
        <family val="2"/>
      </rPr>
      <t>x 70'</t>
    </r>
  </si>
  <si>
    <r>
      <rPr>
        <i/>
        <sz val="9.5"/>
        <color rgb="FFFF0000"/>
        <rFont val="Calibri"/>
        <family val="2"/>
      </rPr>
      <t xml:space="preserve">30' </t>
    </r>
    <r>
      <rPr>
        <i/>
        <sz val="9.5"/>
        <rFont val="Calibri"/>
        <family val="2"/>
      </rPr>
      <t>x 52'</t>
    </r>
  </si>
  <si>
    <r>
      <rPr>
        <i/>
        <sz val="9.5"/>
        <color rgb="FFFF0000"/>
        <rFont val="Calibri"/>
        <family val="2"/>
      </rPr>
      <t xml:space="preserve">30' </t>
    </r>
    <r>
      <rPr>
        <i/>
        <sz val="9.5"/>
        <rFont val="Calibri"/>
        <family val="2"/>
      </rPr>
      <t>x 60'</t>
    </r>
  </si>
  <si>
    <r>
      <rPr>
        <b/>
        <sz val="24"/>
        <rFont val="Calibri"/>
        <family val="2"/>
      </rPr>
      <t>TEMPO</t>
    </r>
  </si>
  <si>
    <r>
      <rPr>
        <sz val="11.5"/>
        <rFont val="Calibri"/>
        <family val="2"/>
      </rPr>
      <t>Imagine</t>
    </r>
  </si>
  <si>
    <r>
      <rPr>
        <sz val="11.5"/>
        <rFont val="Calibri"/>
        <family val="2"/>
      </rPr>
      <t>13' 4" x 40'</t>
    </r>
  </si>
  <si>
    <r>
      <rPr>
        <sz val="11.5"/>
        <rFont val="Calibri"/>
        <family val="2"/>
      </rPr>
      <t>Satisfaction</t>
    </r>
  </si>
  <si>
    <r>
      <rPr>
        <sz val="11.5"/>
        <rFont val="Calibri"/>
        <family val="2"/>
      </rPr>
      <t>13' 4" x 48'</t>
    </r>
  </si>
  <si>
    <r>
      <rPr>
        <sz val="11.5"/>
        <rFont val="Calibri"/>
        <family val="2"/>
      </rPr>
      <t>Respect</t>
    </r>
  </si>
  <si>
    <r>
      <rPr>
        <sz val="11.5"/>
        <rFont val="Calibri"/>
        <family val="2"/>
      </rPr>
      <t>13' 4" x 60'</t>
    </r>
  </si>
  <si>
    <r>
      <rPr>
        <sz val="11.5"/>
        <rFont val="Calibri"/>
        <family val="2"/>
      </rPr>
      <t>Good Vibrations</t>
    </r>
  </si>
  <si>
    <r>
      <rPr>
        <sz val="11.5"/>
        <rFont val="Calibri"/>
        <family val="2"/>
      </rPr>
      <t>13' 4" x 66'</t>
    </r>
  </si>
  <si>
    <r>
      <rPr>
        <sz val="11.5"/>
        <rFont val="Calibri"/>
        <family val="2"/>
      </rPr>
      <t>Yesterday</t>
    </r>
  </si>
  <si>
    <r>
      <rPr>
        <sz val="11.5"/>
        <rFont val="Calibri"/>
        <family val="2"/>
      </rPr>
      <t>15' x 44'</t>
    </r>
  </si>
  <si>
    <r>
      <rPr>
        <sz val="11.5"/>
        <rFont val="Calibri"/>
        <family val="2"/>
      </rPr>
      <t>Layla</t>
    </r>
  </si>
  <si>
    <r>
      <rPr>
        <sz val="11.5"/>
        <rFont val="Calibri"/>
        <family val="2"/>
      </rPr>
      <t>15' x 52'</t>
    </r>
  </si>
  <si>
    <r>
      <rPr>
        <sz val="11.5"/>
        <rFont val="Calibri"/>
        <family val="2"/>
      </rPr>
      <t>Still The One</t>
    </r>
  </si>
  <si>
    <r>
      <rPr>
        <sz val="11.5"/>
        <rFont val="Calibri"/>
        <family val="2"/>
      </rPr>
      <t>15' x 56'</t>
    </r>
  </si>
  <si>
    <r>
      <rPr>
        <sz val="11.5"/>
        <rFont val="Calibri"/>
        <family val="2"/>
      </rPr>
      <t>Born to Run</t>
    </r>
  </si>
  <si>
    <r>
      <rPr>
        <sz val="11.5"/>
        <rFont val="Calibri"/>
        <family val="2"/>
      </rPr>
      <t>15' x 60'</t>
    </r>
  </si>
  <si>
    <r>
      <rPr>
        <sz val="11.5"/>
        <rFont val="Calibri"/>
        <family val="2"/>
      </rPr>
      <t>Rhythm Nation</t>
    </r>
  </si>
  <si>
    <r>
      <rPr>
        <sz val="11.5"/>
        <rFont val="Calibri"/>
        <family val="2"/>
      </rPr>
      <t>15' x 66</t>
    </r>
  </si>
  <si>
    <r>
      <rPr>
        <sz val="11.5"/>
        <rFont val="Calibri"/>
        <family val="2"/>
      </rPr>
      <t>Move On Up</t>
    </r>
  </si>
  <si>
    <r>
      <rPr>
        <sz val="11.5"/>
        <rFont val="Calibri"/>
        <family val="2"/>
      </rPr>
      <t>15' x 72'</t>
    </r>
  </si>
  <si>
    <r>
      <rPr>
        <sz val="11.5"/>
        <rFont val="Calibri"/>
        <family val="2"/>
      </rPr>
      <t>Sweet Coroline</t>
    </r>
  </si>
  <si>
    <r>
      <rPr>
        <sz val="11.5"/>
        <rFont val="Calibri"/>
        <family val="2"/>
      </rPr>
      <t>15' x 76'</t>
    </r>
  </si>
  <si>
    <r>
      <rPr>
        <sz val="11.5"/>
        <rFont val="Calibri"/>
        <family val="2"/>
      </rPr>
      <t>Rising Sun</t>
    </r>
  </si>
  <si>
    <r>
      <rPr>
        <sz val="11.5"/>
        <rFont val="Calibri"/>
        <family val="2"/>
      </rPr>
      <t>24' x 44'</t>
    </r>
  </si>
  <si>
    <r>
      <rPr>
        <sz val="11.5"/>
        <rFont val="Calibri"/>
        <family val="2"/>
      </rPr>
      <t>Here Comes the Sun</t>
    </r>
  </si>
  <si>
    <r>
      <rPr>
        <sz val="11.5"/>
        <rFont val="Calibri"/>
        <family val="2"/>
      </rPr>
      <t>24' x 48'</t>
    </r>
  </si>
  <si>
    <r>
      <rPr>
        <sz val="11.5"/>
        <rFont val="Calibri"/>
        <family val="2"/>
      </rPr>
      <t>Three Little Birds</t>
    </r>
  </si>
  <si>
    <r>
      <rPr>
        <sz val="11.5"/>
        <rFont val="Calibri"/>
        <family val="2"/>
      </rPr>
      <t>24' x 52'</t>
    </r>
  </si>
  <si>
    <r>
      <rPr>
        <sz val="11.5"/>
        <rFont val="Calibri"/>
        <family val="2"/>
      </rPr>
      <t>Stand by Me (Porch)</t>
    </r>
  </si>
  <si>
    <r>
      <rPr>
        <sz val="11.5"/>
        <rFont val="Calibri"/>
        <family val="2"/>
      </rPr>
      <t>24' x 52' / 46'</t>
    </r>
  </si>
  <si>
    <r>
      <rPr>
        <sz val="11.5"/>
        <rFont val="Calibri"/>
        <family val="2"/>
      </rPr>
      <t>My Girl (was Purple Rain)</t>
    </r>
  </si>
  <si>
    <r>
      <rPr>
        <sz val="11.5"/>
        <rFont val="Calibri"/>
        <family val="2"/>
      </rPr>
      <t>24' x 56'</t>
    </r>
  </si>
  <si>
    <r>
      <rPr>
        <sz val="11.5"/>
        <rFont val="Calibri"/>
        <family val="2"/>
      </rPr>
      <t>Whole Lotta Love (Porch)</t>
    </r>
  </si>
  <si>
    <r>
      <rPr>
        <sz val="11.5"/>
        <rFont val="Calibri"/>
        <family val="2"/>
      </rPr>
      <t>24' x 56'/50'</t>
    </r>
  </si>
  <si>
    <r>
      <rPr>
        <sz val="11.5"/>
        <rFont val="Calibri"/>
        <family val="2"/>
      </rPr>
      <t>Sweet Dreams</t>
    </r>
  </si>
  <si>
    <r>
      <rPr>
        <sz val="11.5"/>
        <rFont val="Calibri"/>
        <family val="2"/>
      </rPr>
      <t>26' 8" x 40'</t>
    </r>
  </si>
  <si>
    <r>
      <rPr>
        <sz val="11.5"/>
        <rFont val="Calibri"/>
        <family val="2"/>
      </rPr>
      <t>Beautiful Morning</t>
    </r>
  </si>
  <si>
    <r>
      <rPr>
        <sz val="11.5"/>
        <rFont val="Calibri"/>
        <family val="2"/>
      </rPr>
      <t>26' 8" x 44'</t>
    </r>
  </si>
  <si>
    <r>
      <rPr>
        <sz val="11.5"/>
        <rFont val="Calibri"/>
        <family val="2"/>
      </rPr>
      <t>Under Pressure</t>
    </r>
  </si>
  <si>
    <r>
      <rPr>
        <sz val="11.5"/>
        <rFont val="Calibri"/>
        <family val="2"/>
      </rPr>
      <t>26' 8" x 48'</t>
    </r>
  </si>
  <si>
    <r>
      <rPr>
        <sz val="11.5"/>
        <rFont val="Calibri"/>
        <family val="2"/>
      </rPr>
      <t>Johnny B Goode (Porch)</t>
    </r>
  </si>
  <si>
    <r>
      <rPr>
        <sz val="11.5"/>
        <rFont val="Calibri"/>
        <family val="2"/>
      </rPr>
      <t>26' 8" x 52 / 46'</t>
    </r>
  </si>
  <si>
    <r>
      <rPr>
        <sz val="11.5"/>
        <rFont val="Calibri"/>
        <family val="2"/>
      </rPr>
      <t>Free Bird</t>
    </r>
  </si>
  <si>
    <r>
      <rPr>
        <sz val="11.5"/>
        <rFont val="Calibri"/>
        <family val="2"/>
      </rPr>
      <t>26' 8" x 52'</t>
    </r>
  </si>
  <si>
    <r>
      <rPr>
        <sz val="11.5"/>
        <rFont val="Calibri"/>
        <family val="2"/>
      </rPr>
      <t>Shout</t>
    </r>
  </si>
  <si>
    <r>
      <rPr>
        <sz val="11.5"/>
        <rFont val="Calibri"/>
        <family val="2"/>
      </rPr>
      <t>26' 8" x 56'</t>
    </r>
  </si>
  <si>
    <r>
      <rPr>
        <sz val="11.5"/>
        <rFont val="Calibri"/>
        <family val="2"/>
      </rPr>
      <t>Staying Alive (Porch)</t>
    </r>
  </si>
  <si>
    <r>
      <rPr>
        <sz val="11.5"/>
        <rFont val="Calibri"/>
        <family val="2"/>
      </rPr>
      <t>26' 8" x 56' / 50'</t>
    </r>
  </si>
  <si>
    <r>
      <rPr>
        <sz val="11.5"/>
        <rFont val="Calibri"/>
        <family val="2"/>
      </rPr>
      <t>Brown Eyed Girl</t>
    </r>
  </si>
  <si>
    <r>
      <rPr>
        <sz val="11.5"/>
        <rFont val="Calibri"/>
        <family val="2"/>
      </rPr>
      <t>26'8" x 60'</t>
    </r>
  </si>
  <si>
    <r>
      <rPr>
        <sz val="11.5"/>
        <rFont val="Calibri"/>
        <family val="2"/>
      </rPr>
      <t>Rocket Man</t>
    </r>
  </si>
  <si>
    <r>
      <rPr>
        <sz val="11.5"/>
        <rFont val="Calibri"/>
        <family val="2"/>
      </rPr>
      <t>26' 8" x 66'</t>
    </r>
  </si>
  <si>
    <r>
      <rPr>
        <sz val="11.5"/>
        <rFont val="Calibri"/>
        <family val="2"/>
      </rPr>
      <t>Hey Jude</t>
    </r>
  </si>
  <si>
    <r>
      <rPr>
        <sz val="11.5"/>
        <rFont val="Calibri"/>
        <family val="2"/>
      </rPr>
      <t>26' 8" x 72'</t>
    </r>
  </si>
  <si>
    <r>
      <rPr>
        <sz val="11.5"/>
        <rFont val="Calibri"/>
        <family val="2"/>
      </rPr>
      <t>Superfly</t>
    </r>
  </si>
  <si>
    <r>
      <rPr>
        <sz val="11.5"/>
        <rFont val="Calibri"/>
        <family val="2"/>
      </rPr>
      <t>27' x 76'</t>
    </r>
  </si>
  <si>
    <r>
      <rPr>
        <sz val="11.5"/>
        <rFont val="Calibri"/>
        <family val="2"/>
      </rPr>
      <t>Limelight</t>
    </r>
  </si>
  <si>
    <r>
      <rPr>
        <sz val="11.5"/>
        <rFont val="Calibri"/>
        <family val="2"/>
      </rPr>
      <t>30' x 56'</t>
    </r>
  </si>
  <si>
    <r>
      <rPr>
        <sz val="11.5"/>
        <rFont val="Calibri"/>
        <family val="2"/>
      </rPr>
      <t>Lean on Me</t>
    </r>
  </si>
  <si>
    <r>
      <rPr>
        <sz val="11.5"/>
        <rFont val="Calibri"/>
        <family val="2"/>
      </rPr>
      <t>27' x 56'</t>
    </r>
  </si>
  <si>
    <t>DRM 561P</t>
  </si>
  <si>
    <t>DRM 401M</t>
  </si>
  <si>
    <t>DRM 481M</t>
  </si>
  <si>
    <t>DRM 521M</t>
  </si>
  <si>
    <t>DRM 561M</t>
  </si>
  <si>
    <t>DRM 601M</t>
  </si>
  <si>
    <t>DRM 661M</t>
  </si>
  <si>
    <t>DRM 562N</t>
  </si>
  <si>
    <t>DRM 603N</t>
  </si>
  <si>
    <t>DRM 661N</t>
  </si>
  <si>
    <t>DRM 301P</t>
  </si>
  <si>
    <t>DRM 402P</t>
  </si>
  <si>
    <t>DRM 482P</t>
  </si>
  <si>
    <t>CASITA</t>
  </si>
  <si>
    <t>DRM 363A</t>
  </si>
  <si>
    <t>DRM 385A</t>
  </si>
  <si>
    <t>DRM 386A</t>
  </si>
  <si>
    <t>DRM 482A</t>
  </si>
  <si>
    <t>DRM 502A</t>
  </si>
  <si>
    <t>DRM 443F</t>
  </si>
  <si>
    <t>DRM 444F</t>
  </si>
  <si>
    <t>DRM 481F</t>
  </si>
  <si>
    <t>DRM 482F</t>
  </si>
  <si>
    <t>DRM 483F</t>
  </si>
  <si>
    <t>DRM 484F</t>
  </si>
  <si>
    <t>DRM 486F</t>
  </si>
  <si>
    <t>DRM 521F</t>
  </si>
  <si>
    <t>DRM 561F</t>
  </si>
  <si>
    <t>DRM 562F</t>
  </si>
  <si>
    <t>DRM 563F</t>
  </si>
  <si>
    <t>DRM 564F</t>
  </si>
  <si>
    <t>DRM 601F</t>
  </si>
  <si>
    <t>DRM 682F</t>
  </si>
  <si>
    <t>DRM 683F</t>
  </si>
  <si>
    <t>DRM 711F</t>
  </si>
  <si>
    <t>ING 682K - UTE PRAYER</t>
  </si>
  <si>
    <t>ING 362A - MYRTLE</t>
  </si>
  <si>
    <t>ING 361F - DOGWOOD</t>
  </si>
  <si>
    <t>ING 382F - REDWOOD II</t>
  </si>
  <si>
    <t>ING 485F - BLUE SPRUCE</t>
  </si>
  <si>
    <t>ING 486F - MANZANITA</t>
  </si>
  <si>
    <t>ING 524F - WISTERIA</t>
  </si>
  <si>
    <t>ING 525F - BLACK WALNUT</t>
  </si>
  <si>
    <t>ING 561F - SPRUCE</t>
  </si>
  <si>
    <t>ING 563F - COTTONWOOD</t>
  </si>
  <si>
    <t>ING 564F - SHASTA</t>
  </si>
  <si>
    <t>ING 681F - EUCALYPTUS</t>
  </si>
  <si>
    <t>ING 601K - WHITE PINE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</si>
</sst>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0.00"/>
  </numFmts>
  <fonts count="26" x14ac:knownFonts="1">
    <font>
      <sz val="10"/>
      <color rgb="FF000000"/>
      <name val="Times New Roman"/>
      <charset val="204"/>
    </font>
    <font>
      <b/>
      <sz val="24"/>
      <name val="Calibri"/>
    </font>
    <font>
      <b/>
      <sz val="11.5"/>
      <name val="Calibri"/>
    </font>
    <font>
      <b/>
      <i/>
      <sz val="11.5"/>
      <name val="Calibri"/>
    </font>
    <font>
      <sz val="11.5"/>
      <name val="Calibri"/>
    </font>
    <font>
      <sz val="11.5"/>
      <color rgb="FF000000"/>
      <name val="Calibri"/>
      <family val="2"/>
    </font>
    <font>
      <b/>
      <sz val="11.5"/>
      <color rgb="FF37761C"/>
      <name val="Calibri"/>
      <family val="2"/>
    </font>
    <font>
      <b/>
      <sz val="9.5"/>
      <name val="Calibri"/>
    </font>
    <font>
      <b/>
      <i/>
      <sz val="9.5"/>
      <name val="Calibri"/>
    </font>
    <font>
      <sz val="9.5"/>
      <color rgb="FF000000"/>
      <name val="Calibri"/>
      <family val="2"/>
    </font>
    <font>
      <sz val="9.5"/>
      <name val="Calibri"/>
    </font>
    <font>
      <b/>
      <sz val="9.5"/>
      <color rgb="FF37761C"/>
      <name val="Calibri"/>
      <family val="2"/>
    </font>
    <font>
      <i/>
      <sz val="9.5"/>
      <name val="Calibri"/>
    </font>
    <font>
      <b/>
      <sz val="24"/>
      <name val="Calibri"/>
      <family val="2"/>
    </font>
    <font>
      <b/>
      <sz val="11.5"/>
      <name val="Calibri"/>
      <family val="2"/>
    </font>
    <font>
      <b/>
      <i/>
      <sz val="11.5"/>
      <name val="Calibri"/>
      <family val="2"/>
    </font>
    <font>
      <sz val="11.5"/>
      <name val="Calibri"/>
      <family val="2"/>
    </font>
    <font>
      <b/>
      <i/>
      <sz val="11.5"/>
      <color rgb="FFFF0000"/>
      <name val="Calibri"/>
      <family val="2"/>
    </font>
    <font>
      <b/>
      <sz val="9.5"/>
      <name val="Calibri"/>
      <family val="2"/>
    </font>
    <font>
      <b/>
      <i/>
      <sz val="9.5"/>
      <name val="Calibri"/>
      <family val="2"/>
    </font>
    <font>
      <sz val="9.5"/>
      <name val="Calibri"/>
      <family val="2"/>
    </font>
    <font>
      <sz val="9.5"/>
      <color rgb="FFFF0000"/>
      <name val="Calibri"/>
      <family val="2"/>
    </font>
    <font>
      <i/>
      <sz val="9.5"/>
      <color rgb="FFFF0000"/>
      <name val="Calibri"/>
      <family val="2"/>
    </font>
    <font>
      <i/>
      <sz val="9.5"/>
      <name val="Calibri"/>
      <family val="2"/>
    </font>
    <font>
      <sz val="11.5"/>
      <color rgb="FFFF0000"/>
      <name val="Calibri"/>
      <family val="2"/>
    </font>
    <font>
      <sz val="9.5"/>
      <color rgb="FFC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1E9"/>
      </patternFill>
    </fill>
    <fill>
      <patternFill patternType="solid">
        <fgColor rgb="FFC9DAF7"/>
      </patternFill>
    </fill>
    <fill>
      <patternFill patternType="solid">
        <fgColor rgb="FFFAE4D4"/>
      </patternFill>
    </fill>
    <fill>
      <patternFill patternType="solid">
        <fgColor rgb="FFB6D7A8"/>
      </patternFill>
    </fill>
    <fill>
      <patternFill patternType="solid">
        <fgColor rgb="FFFDF1C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 applyAlignment="1">
      <alignment horizontal="left" vertical="top"/>
    </xf>
    <xf numFmtId="0" fontId="7" fillId="2" borderId="1" xfId="0" applyFont="1" applyFill="1" applyBorder="1" applyAlignment="1">
      <alignment horizontal="left" vertical="top" wrapText="1"/>
    </xf>
    <xf numFmtId="1" fontId="9" fillId="0" borderId="1" xfId="0" applyNumberFormat="1" applyFont="1" applyBorder="1" applyAlignment="1">
      <alignment horizontal="left" vertical="top" shrinkToFit="1"/>
    </xf>
    <xf numFmtId="0" fontId="10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center" wrapText="1" indent="20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3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3" borderId="4" xfId="0" applyFont="1" applyFill="1" applyBorder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1" fontId="5" fillId="0" borderId="2" xfId="0" applyNumberFormat="1" applyFont="1" applyBorder="1" applyAlignment="1">
      <alignment horizontal="center" vertical="top" shrinkToFit="1"/>
    </xf>
    <xf numFmtId="1" fontId="5" fillId="0" borderId="4" xfId="0" applyNumberFormat="1" applyFont="1" applyBorder="1" applyAlignment="1">
      <alignment horizontal="center" vertical="top" shrinkToFit="1"/>
    </xf>
    <xf numFmtId="164" fontId="6" fillId="0" borderId="2" xfId="0" applyNumberFormat="1" applyFont="1" applyBorder="1" applyAlignment="1">
      <alignment horizontal="center" vertical="top" shrinkToFit="1"/>
    </xf>
    <xf numFmtId="164" fontId="6" fillId="0" borderId="3" xfId="0" applyNumberFormat="1" applyFont="1" applyBorder="1" applyAlignment="1">
      <alignment horizontal="center" vertical="top" shrinkToFit="1"/>
    </xf>
    <xf numFmtId="164" fontId="6" fillId="0" borderId="4" xfId="0" applyNumberFormat="1" applyFont="1" applyBorder="1" applyAlignment="1">
      <alignment horizontal="center" vertical="top" shrinkToFit="1"/>
    </xf>
    <xf numFmtId="165" fontId="5" fillId="0" borderId="2" xfId="0" applyNumberFormat="1" applyFont="1" applyBorder="1" applyAlignment="1">
      <alignment horizontal="center" vertical="top" shrinkToFit="1"/>
    </xf>
    <xf numFmtId="165" fontId="5" fillId="0" borderId="3" xfId="0" applyNumberFormat="1" applyFont="1" applyBorder="1" applyAlignment="1">
      <alignment horizontal="center" vertical="top" shrinkToFit="1"/>
    </xf>
    <xf numFmtId="165" fontId="5" fillId="0" borderId="4" xfId="0" applyNumberFormat="1" applyFont="1" applyBorder="1" applyAlignment="1">
      <alignment horizontal="center" vertical="top" shrinkToFi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 indent="22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8" fillId="4" borderId="2" xfId="0" applyFont="1" applyFill="1" applyBorder="1" applyAlignment="1">
      <alignment horizontal="center" vertical="top" wrapText="1"/>
    </xf>
    <xf numFmtId="0" fontId="8" fillId="4" borderId="3" xfId="0" applyFont="1" applyFill="1" applyBorder="1" applyAlignment="1">
      <alignment horizontal="center" vertical="top" wrapText="1"/>
    </xf>
    <xf numFmtId="0" fontId="8" fillId="4" borderId="4" xfId="0" applyFont="1" applyFill="1" applyBorder="1" applyAlignment="1">
      <alignment horizontal="center" vertical="top" wrapText="1"/>
    </xf>
    <xf numFmtId="0" fontId="10" fillId="0" borderId="2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top" wrapText="1"/>
    </xf>
    <xf numFmtId="0" fontId="10" fillId="0" borderId="4" xfId="0" applyFont="1" applyBorder="1" applyAlignment="1">
      <alignment horizontal="center" vertical="top" wrapText="1"/>
    </xf>
    <xf numFmtId="1" fontId="9" fillId="0" borderId="2" xfId="0" applyNumberFormat="1" applyFont="1" applyBorder="1" applyAlignment="1">
      <alignment horizontal="center" vertical="top" shrinkToFit="1"/>
    </xf>
    <xf numFmtId="1" fontId="9" fillId="0" borderId="3" xfId="0" applyNumberFormat="1" applyFont="1" applyBorder="1" applyAlignment="1">
      <alignment horizontal="center" vertical="top" shrinkToFit="1"/>
    </xf>
    <xf numFmtId="1" fontId="9" fillId="0" borderId="4" xfId="0" applyNumberFormat="1" applyFont="1" applyBorder="1" applyAlignment="1">
      <alignment horizontal="center" vertical="top" shrinkToFit="1"/>
    </xf>
    <xf numFmtId="164" fontId="11" fillId="0" borderId="2" xfId="0" applyNumberFormat="1" applyFont="1" applyBorder="1" applyAlignment="1">
      <alignment horizontal="center" vertical="top" shrinkToFit="1"/>
    </xf>
    <xf numFmtId="164" fontId="11" fillId="0" borderId="3" xfId="0" applyNumberFormat="1" applyFont="1" applyBorder="1" applyAlignment="1">
      <alignment horizontal="center" vertical="top" shrinkToFit="1"/>
    </xf>
    <xf numFmtId="164" fontId="11" fillId="0" borderId="4" xfId="0" applyNumberFormat="1" applyFont="1" applyBorder="1" applyAlignment="1">
      <alignment horizontal="center" vertical="top" shrinkToFit="1"/>
    </xf>
    <xf numFmtId="165" fontId="9" fillId="0" borderId="2" xfId="0" applyNumberFormat="1" applyFont="1" applyBorder="1" applyAlignment="1">
      <alignment horizontal="center" vertical="top" shrinkToFit="1"/>
    </xf>
    <xf numFmtId="165" fontId="9" fillId="0" borderId="3" xfId="0" applyNumberFormat="1" applyFont="1" applyBorder="1" applyAlignment="1">
      <alignment horizontal="center" vertical="top" shrinkToFit="1"/>
    </xf>
    <xf numFmtId="165" fontId="9" fillId="0" borderId="4" xfId="0" applyNumberFormat="1" applyFont="1" applyBorder="1" applyAlignment="1">
      <alignment horizontal="center" vertical="top" shrinkToFit="1"/>
    </xf>
    <xf numFmtId="3" fontId="9" fillId="0" borderId="2" xfId="0" applyNumberFormat="1" applyFont="1" applyBorder="1" applyAlignment="1">
      <alignment horizontal="center" vertical="top" shrinkToFit="1"/>
    </xf>
    <xf numFmtId="3" fontId="9" fillId="0" borderId="3" xfId="0" applyNumberFormat="1" applyFont="1" applyBorder="1" applyAlignment="1">
      <alignment horizontal="center" vertical="top" shrinkToFit="1"/>
    </xf>
    <xf numFmtId="3" fontId="9" fillId="0" borderId="4" xfId="0" applyNumberFormat="1" applyFont="1" applyBorder="1" applyAlignment="1">
      <alignment horizontal="center" vertical="top" shrinkToFit="1"/>
    </xf>
    <xf numFmtId="0" fontId="7" fillId="5" borderId="2" xfId="0" applyFont="1" applyFill="1" applyBorder="1" applyAlignment="1">
      <alignment horizontal="center" vertical="top" wrapText="1"/>
    </xf>
    <xf numFmtId="0" fontId="7" fillId="5" borderId="3" xfId="0" applyFont="1" applyFill="1" applyBorder="1" applyAlignment="1">
      <alignment horizontal="center" vertical="top" wrapText="1"/>
    </xf>
    <xf numFmtId="0" fontId="7" fillId="5" borderId="4" xfId="0" applyFont="1" applyFill="1" applyBorder="1" applyAlignment="1">
      <alignment horizontal="center" vertical="top" wrapText="1"/>
    </xf>
    <xf numFmtId="0" fontId="8" fillId="6" borderId="2" xfId="0" applyFont="1" applyFill="1" applyBorder="1" applyAlignment="1">
      <alignment horizontal="center" vertical="top" wrapText="1"/>
    </xf>
    <xf numFmtId="0" fontId="8" fillId="6" borderId="3" xfId="0" applyFont="1" applyFill="1" applyBorder="1" applyAlignment="1">
      <alignment horizontal="center" vertical="top" wrapText="1"/>
    </xf>
    <xf numFmtId="0" fontId="8" fillId="6" borderId="4" xfId="0" applyFont="1" applyFill="1" applyBorder="1" applyAlignment="1">
      <alignment horizontal="center" vertical="top" wrapText="1"/>
    </xf>
    <xf numFmtId="0" fontId="12" fillId="0" borderId="2" xfId="0" applyFont="1" applyBorder="1" applyAlignment="1">
      <alignment horizontal="center" vertical="top" wrapText="1"/>
    </xf>
    <xf numFmtId="0" fontId="12" fillId="0" borderId="3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top" shrinkToFit="1"/>
    </xf>
    <xf numFmtId="0" fontId="24" fillId="0" borderId="2" xfId="0" applyFont="1" applyBorder="1" applyAlignment="1">
      <alignment horizontal="left" vertical="top" wrapText="1"/>
    </xf>
    <xf numFmtId="0" fontId="24" fillId="0" borderId="3" xfId="0" applyFont="1" applyBorder="1" applyAlignment="1">
      <alignment horizontal="left" vertical="top" wrapText="1"/>
    </xf>
    <xf numFmtId="0" fontId="24" fillId="0" borderId="4" xfId="0" applyFont="1" applyBorder="1" applyAlignment="1">
      <alignment horizontal="left" vertical="top" wrapText="1"/>
    </xf>
    <xf numFmtId="0" fontId="16" fillId="0" borderId="2" xfId="0" applyFont="1" applyBorder="1" applyAlignment="1">
      <alignment horizontal="left" vertical="top" wrapText="1"/>
    </xf>
    <xf numFmtId="0" fontId="16" fillId="0" borderId="3" xfId="0" applyFont="1" applyBorder="1" applyAlignment="1">
      <alignment horizontal="left" vertical="top" wrapText="1"/>
    </xf>
    <xf numFmtId="0" fontId="16" fillId="0" borderId="4" xfId="0" applyFont="1" applyBorder="1" applyAlignment="1">
      <alignment horizontal="left" vertical="top" wrapText="1"/>
    </xf>
    <xf numFmtId="1" fontId="25" fillId="0" borderId="1" xfId="0" applyNumberFormat="1" applyFont="1" applyBorder="1" applyAlignment="1">
      <alignment horizontal="left"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307190</xdr:colOff>
      <xdr:row>0</xdr:row>
      <xdr:rowOff>671734</xdr:rowOff>
    </xdr:from>
    <xdr:ext cx="1176076" cy="139633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76076" cy="13963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A4F76D-304E-4F8A-8F16-F2BA992D0FE5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4"/>
  <sheetViews>
    <sheetView tabSelected="1" topLeftCell="A127" zoomScale="130" zoomScaleNormal="130" workbookViewId="0">
      <selection activeCell="A150" sqref="A150:A152"/>
    </sheetView>
  </sheetViews>
  <sheetFormatPr defaultRowHeight="13" x14ac:dyDescent="0.3"/>
  <cols>
    <col min="1" max="1" width="31.19921875" customWidth="1"/>
    <col min="2" max="2" width="25.59765625" customWidth="1"/>
    <col min="3" max="3" width="6.8984375" customWidth="1"/>
    <col min="4" max="4" width="9.296875" customWidth="1"/>
    <col min="5" max="5" width="6.8984375" customWidth="1"/>
    <col min="6" max="6" width="8" customWidth="1"/>
    <col min="7" max="7" width="4.69921875" customWidth="1"/>
    <col min="8" max="8" width="5.796875" customWidth="1"/>
    <col min="9" max="9" width="1.09765625" customWidth="1"/>
    <col min="10" max="10" width="5.796875" customWidth="1"/>
    <col min="11" max="11" width="10.3984375" customWidth="1"/>
    <col min="12" max="12" width="1.09765625" customWidth="1"/>
    <col min="13" max="13" width="5.796875" customWidth="1"/>
    <col min="14" max="14" width="10.3984375" customWidth="1"/>
    <col min="15" max="15" width="1.09765625" customWidth="1"/>
    <col min="16" max="16" width="6.8984375" customWidth="1"/>
    <col min="17" max="17" width="11.59765625" customWidth="1"/>
    <col min="18" max="18" width="1.09765625" customWidth="1"/>
    <col min="19" max="19" width="3.296875" customWidth="1"/>
    <col min="20" max="21" width="8.796875" customWidth="1"/>
  </cols>
  <sheetData>
    <row r="1" spans="2:18" ht="69" customHeight="1" x14ac:dyDescent="0.3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2:18" ht="18" customHeight="1" x14ac:dyDescent="0.3">
      <c r="B2" s="5" t="s">
        <v>1</v>
      </c>
      <c r="C2" s="6"/>
      <c r="D2" s="7"/>
      <c r="E2" s="8" t="s">
        <v>2</v>
      </c>
      <c r="F2" s="9"/>
      <c r="G2" s="10"/>
      <c r="H2" s="8" t="s">
        <v>3</v>
      </c>
      <c r="I2" s="10"/>
      <c r="J2" s="8" t="s">
        <v>4</v>
      </c>
      <c r="K2" s="9"/>
      <c r="L2" s="10"/>
      <c r="M2" s="8" t="s">
        <v>5</v>
      </c>
      <c r="N2" s="9"/>
      <c r="O2" s="10"/>
      <c r="P2" s="11"/>
      <c r="Q2" s="11"/>
      <c r="R2" s="11"/>
    </row>
    <row r="3" spans="2:18" ht="18" customHeight="1" x14ac:dyDescent="0.3">
      <c r="B3" s="12" t="s">
        <v>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4"/>
      <c r="P3" s="11"/>
      <c r="Q3" s="11"/>
      <c r="R3" s="11"/>
    </row>
    <row r="4" spans="2:18" ht="18" customHeight="1" x14ac:dyDescent="0.3">
      <c r="B4" s="68" t="s">
        <v>171</v>
      </c>
      <c r="C4" s="69"/>
      <c r="D4" s="70"/>
      <c r="E4" s="18" t="s">
        <v>7</v>
      </c>
      <c r="F4" s="19"/>
      <c r="G4" s="20"/>
      <c r="H4" s="21">
        <v>409</v>
      </c>
      <c r="I4" s="22"/>
      <c r="J4" s="23">
        <v>99895.4</v>
      </c>
      <c r="K4" s="24"/>
      <c r="L4" s="25"/>
      <c r="M4" s="26">
        <v>244.24</v>
      </c>
      <c r="N4" s="27"/>
      <c r="O4" s="28"/>
      <c r="P4" s="11"/>
      <c r="Q4" s="11"/>
      <c r="R4" s="11"/>
    </row>
    <row r="5" spans="2:18" ht="18" customHeight="1" x14ac:dyDescent="0.3">
      <c r="B5" s="68" t="s">
        <v>159</v>
      </c>
      <c r="C5" s="69"/>
      <c r="D5" s="70"/>
      <c r="E5" s="18" t="s">
        <v>7</v>
      </c>
      <c r="F5" s="19"/>
      <c r="G5" s="20"/>
      <c r="H5" s="21">
        <v>540</v>
      </c>
      <c r="I5" s="22"/>
      <c r="J5" s="23">
        <v>96554.96</v>
      </c>
      <c r="K5" s="24"/>
      <c r="L5" s="25"/>
      <c r="M5" s="26">
        <v>178.81</v>
      </c>
      <c r="N5" s="27"/>
      <c r="O5" s="28"/>
      <c r="P5" s="11"/>
      <c r="Q5" s="11"/>
      <c r="R5" s="11"/>
    </row>
    <row r="6" spans="2:18" ht="18" customHeight="1" x14ac:dyDescent="0.3">
      <c r="B6" s="68" t="s">
        <v>160</v>
      </c>
      <c r="C6" s="69"/>
      <c r="D6" s="70"/>
      <c r="E6" s="18" t="s">
        <v>7</v>
      </c>
      <c r="F6" s="19"/>
      <c r="G6" s="20"/>
      <c r="H6" s="21">
        <v>648</v>
      </c>
      <c r="I6" s="22"/>
      <c r="J6" s="23">
        <v>101052.08</v>
      </c>
      <c r="K6" s="24"/>
      <c r="L6" s="25"/>
      <c r="M6" s="26">
        <v>155.94</v>
      </c>
      <c r="N6" s="27"/>
      <c r="O6" s="28"/>
      <c r="P6" s="11"/>
      <c r="Q6" s="11"/>
      <c r="R6" s="11"/>
    </row>
    <row r="7" spans="2:18" ht="18" customHeight="1" x14ac:dyDescent="0.3">
      <c r="B7" s="68" t="s">
        <v>161</v>
      </c>
      <c r="C7" s="69"/>
      <c r="D7" s="70"/>
      <c r="E7" s="18" t="s">
        <v>7</v>
      </c>
      <c r="F7" s="19"/>
      <c r="G7" s="20"/>
      <c r="H7" s="21">
        <v>702</v>
      </c>
      <c r="I7" s="22"/>
      <c r="J7" s="23">
        <v>102953.96</v>
      </c>
      <c r="K7" s="24"/>
      <c r="L7" s="25"/>
      <c r="M7" s="26">
        <v>146.66</v>
      </c>
      <c r="N7" s="27"/>
      <c r="O7" s="28"/>
      <c r="P7" s="11"/>
      <c r="Q7" s="11"/>
      <c r="R7" s="11"/>
    </row>
    <row r="8" spans="2:18" ht="18" customHeight="1" x14ac:dyDescent="0.3">
      <c r="B8" s="68" t="s">
        <v>162</v>
      </c>
      <c r="C8" s="69"/>
      <c r="D8" s="70"/>
      <c r="E8" s="18" t="s">
        <v>7</v>
      </c>
      <c r="F8" s="19"/>
      <c r="G8" s="20"/>
      <c r="H8" s="21">
        <v>756</v>
      </c>
      <c r="I8" s="22"/>
      <c r="J8" s="23">
        <v>103445.36</v>
      </c>
      <c r="K8" s="24"/>
      <c r="L8" s="25"/>
      <c r="M8" s="26">
        <v>136.83000000000001</v>
      </c>
      <c r="N8" s="27"/>
      <c r="O8" s="28"/>
      <c r="P8" s="11"/>
      <c r="Q8" s="11"/>
      <c r="R8" s="11"/>
    </row>
    <row r="9" spans="2:18" ht="18" customHeight="1" x14ac:dyDescent="0.3">
      <c r="B9" s="68" t="s">
        <v>163</v>
      </c>
      <c r="C9" s="69"/>
      <c r="D9" s="70"/>
      <c r="E9" s="18" t="s">
        <v>7</v>
      </c>
      <c r="F9" s="19"/>
      <c r="G9" s="20"/>
      <c r="H9" s="21">
        <v>810</v>
      </c>
      <c r="I9" s="22"/>
      <c r="J9" s="23">
        <v>108942.56</v>
      </c>
      <c r="K9" s="24"/>
      <c r="L9" s="25"/>
      <c r="M9" s="26">
        <v>134.5</v>
      </c>
      <c r="N9" s="27"/>
      <c r="O9" s="28"/>
      <c r="P9" s="11"/>
      <c r="Q9" s="11"/>
      <c r="R9" s="11"/>
    </row>
    <row r="10" spans="2:18" ht="18" customHeight="1" x14ac:dyDescent="0.3">
      <c r="B10" s="68" t="s">
        <v>164</v>
      </c>
      <c r="C10" s="69"/>
      <c r="D10" s="70"/>
      <c r="E10" s="18" t="s">
        <v>7</v>
      </c>
      <c r="F10" s="19"/>
      <c r="G10" s="20"/>
      <c r="H10" s="21">
        <v>891</v>
      </c>
      <c r="I10" s="22"/>
      <c r="J10" s="23">
        <v>114744.32000000001</v>
      </c>
      <c r="K10" s="24"/>
      <c r="L10" s="25"/>
      <c r="M10" s="26">
        <v>128.78</v>
      </c>
      <c r="N10" s="27"/>
      <c r="O10" s="28"/>
      <c r="P10" s="11"/>
      <c r="Q10" s="11"/>
      <c r="R10" s="11"/>
    </row>
    <row r="11" spans="2:18" ht="18" customHeight="1" x14ac:dyDescent="0.3">
      <c r="B11" s="68" t="s">
        <v>165</v>
      </c>
      <c r="C11" s="69"/>
      <c r="D11" s="70"/>
      <c r="E11" s="18" t="s">
        <v>8</v>
      </c>
      <c r="F11" s="19"/>
      <c r="G11" s="20"/>
      <c r="H11" s="21">
        <v>840</v>
      </c>
      <c r="I11" s="22"/>
      <c r="J11" s="23">
        <v>107681.12</v>
      </c>
      <c r="K11" s="24"/>
      <c r="L11" s="25"/>
      <c r="M11" s="26">
        <v>128.19</v>
      </c>
      <c r="N11" s="27"/>
      <c r="O11" s="28"/>
      <c r="P11" s="11"/>
      <c r="Q11" s="11"/>
      <c r="R11" s="11"/>
    </row>
    <row r="12" spans="2:18" ht="18" customHeight="1" x14ac:dyDescent="0.3">
      <c r="B12" s="68" t="s">
        <v>166</v>
      </c>
      <c r="C12" s="69"/>
      <c r="D12" s="70"/>
      <c r="E12" s="18" t="s">
        <v>8</v>
      </c>
      <c r="F12" s="19"/>
      <c r="G12" s="20"/>
      <c r="H12" s="21">
        <v>900</v>
      </c>
      <c r="I12" s="22"/>
      <c r="J12" s="23">
        <v>113435.36</v>
      </c>
      <c r="K12" s="24"/>
      <c r="L12" s="25"/>
      <c r="M12" s="26">
        <v>126.04</v>
      </c>
      <c r="N12" s="27"/>
      <c r="O12" s="28"/>
      <c r="P12" s="11"/>
      <c r="Q12" s="11"/>
      <c r="R12" s="11"/>
    </row>
    <row r="13" spans="2:18" ht="18" customHeight="1" x14ac:dyDescent="0.3">
      <c r="B13" s="68" t="s">
        <v>167</v>
      </c>
      <c r="C13" s="69"/>
      <c r="D13" s="70"/>
      <c r="E13" s="18" t="s">
        <v>8</v>
      </c>
      <c r="F13" s="19"/>
      <c r="G13" s="20"/>
      <c r="H13" s="21">
        <v>990</v>
      </c>
      <c r="I13" s="22"/>
      <c r="J13" s="23">
        <v>117707.84</v>
      </c>
      <c r="K13" s="24"/>
      <c r="L13" s="25"/>
      <c r="M13" s="26">
        <v>118.9</v>
      </c>
      <c r="N13" s="27"/>
      <c r="O13" s="28"/>
      <c r="P13" s="11"/>
      <c r="Q13" s="11"/>
      <c r="R13" s="11"/>
    </row>
    <row r="14" spans="2:18" ht="18" customHeight="1" x14ac:dyDescent="0.3">
      <c r="B14" s="68" t="s">
        <v>168</v>
      </c>
      <c r="C14" s="69"/>
      <c r="D14" s="70"/>
      <c r="E14" s="18" t="s">
        <v>9</v>
      </c>
      <c r="F14" s="19"/>
      <c r="G14" s="20"/>
      <c r="H14" s="21">
        <v>547</v>
      </c>
      <c r="I14" s="22"/>
      <c r="J14" s="23">
        <v>117548.56</v>
      </c>
      <c r="K14" s="24"/>
      <c r="L14" s="25"/>
      <c r="M14" s="26">
        <v>214.9</v>
      </c>
      <c r="N14" s="27"/>
      <c r="O14" s="28"/>
      <c r="P14" s="11"/>
      <c r="Q14" s="11"/>
      <c r="R14" s="11"/>
    </row>
    <row r="15" spans="2:18" ht="18" customHeight="1" x14ac:dyDescent="0.3">
      <c r="B15" s="68" t="s">
        <v>169</v>
      </c>
      <c r="C15" s="69"/>
      <c r="D15" s="70"/>
      <c r="E15" s="18" t="s">
        <v>9</v>
      </c>
      <c r="F15" s="19"/>
      <c r="G15" s="20"/>
      <c r="H15" s="21">
        <v>800</v>
      </c>
      <c r="I15" s="22"/>
      <c r="J15" s="23">
        <v>145390.96</v>
      </c>
      <c r="K15" s="24"/>
      <c r="L15" s="25"/>
      <c r="M15" s="26">
        <v>181.74</v>
      </c>
      <c r="N15" s="27"/>
      <c r="O15" s="28"/>
      <c r="P15" s="11"/>
      <c r="Q15" s="11"/>
      <c r="R15" s="11"/>
    </row>
    <row r="16" spans="2:18" ht="18" customHeight="1" x14ac:dyDescent="0.3">
      <c r="B16" s="68" t="s">
        <v>170</v>
      </c>
      <c r="C16" s="69"/>
      <c r="D16" s="70"/>
      <c r="E16" s="18" t="s">
        <v>9</v>
      </c>
      <c r="F16" s="19"/>
      <c r="G16" s="20"/>
      <c r="H16" s="21">
        <v>944</v>
      </c>
      <c r="I16" s="22"/>
      <c r="J16" s="23">
        <v>151030.72</v>
      </c>
      <c r="K16" s="24"/>
      <c r="L16" s="25"/>
      <c r="M16" s="26">
        <v>159.99</v>
      </c>
      <c r="N16" s="27"/>
      <c r="O16" s="28"/>
      <c r="P16" s="11"/>
      <c r="Q16" s="11"/>
      <c r="R16" s="11"/>
    </row>
    <row r="17" spans="2:18" ht="18" customHeight="1" x14ac:dyDescent="0.3">
      <c r="B17" s="68" t="s">
        <v>158</v>
      </c>
      <c r="C17" s="69"/>
      <c r="D17" s="70"/>
      <c r="E17" s="18" t="s">
        <v>9</v>
      </c>
      <c r="F17" s="19"/>
      <c r="G17" s="20"/>
      <c r="H17" s="21">
        <v>1101</v>
      </c>
      <c r="I17" s="22"/>
      <c r="J17" s="23">
        <v>159352.12</v>
      </c>
      <c r="K17" s="24"/>
      <c r="L17" s="25"/>
      <c r="M17" s="26">
        <v>144.72999999999999</v>
      </c>
      <c r="N17" s="27"/>
      <c r="O17" s="28"/>
      <c r="P17" s="11"/>
      <c r="Q17" s="11"/>
      <c r="R17" s="11"/>
    </row>
    <row r="18" spans="2:18" ht="18" customHeight="1" x14ac:dyDescent="0.3">
      <c r="B18" s="68" t="s">
        <v>172</v>
      </c>
      <c r="C18" s="69"/>
      <c r="D18" s="70"/>
      <c r="E18" s="18" t="s">
        <v>10</v>
      </c>
      <c r="F18" s="19"/>
      <c r="G18" s="20"/>
      <c r="H18" s="21">
        <v>864</v>
      </c>
      <c r="I18" s="22"/>
      <c r="J18" s="23">
        <v>139230.64000000001</v>
      </c>
      <c r="K18" s="24"/>
      <c r="L18" s="25"/>
      <c r="M18" s="26">
        <v>161.15</v>
      </c>
      <c r="N18" s="27"/>
      <c r="O18" s="28"/>
      <c r="P18" s="11"/>
      <c r="Q18" s="11"/>
      <c r="R18" s="11"/>
    </row>
    <row r="19" spans="2:18" ht="18" customHeight="1" x14ac:dyDescent="0.3">
      <c r="B19" s="68" t="s">
        <v>173</v>
      </c>
      <c r="C19" s="69"/>
      <c r="D19" s="70"/>
      <c r="E19" s="18" t="s">
        <v>10</v>
      </c>
      <c r="F19" s="19"/>
      <c r="G19" s="20"/>
      <c r="H19" s="21">
        <v>900</v>
      </c>
      <c r="I19" s="22"/>
      <c r="J19" s="23">
        <v>144798.04</v>
      </c>
      <c r="K19" s="24"/>
      <c r="L19" s="25"/>
      <c r="M19" s="26">
        <v>160.88999999999999</v>
      </c>
      <c r="N19" s="27"/>
      <c r="O19" s="28"/>
      <c r="P19" s="11"/>
      <c r="Q19" s="11"/>
      <c r="R19" s="11"/>
    </row>
    <row r="20" spans="2:18" ht="18" customHeight="1" x14ac:dyDescent="0.3">
      <c r="B20" s="68" t="s">
        <v>174</v>
      </c>
      <c r="C20" s="69"/>
      <c r="D20" s="70"/>
      <c r="E20" s="18" t="s">
        <v>10</v>
      </c>
      <c r="F20" s="19"/>
      <c r="G20" s="20"/>
      <c r="H20" s="21">
        <v>900</v>
      </c>
      <c r="I20" s="22"/>
      <c r="J20" s="23">
        <v>145597.24</v>
      </c>
      <c r="K20" s="24"/>
      <c r="L20" s="25"/>
      <c r="M20" s="26">
        <v>161.77000000000001</v>
      </c>
      <c r="N20" s="27"/>
      <c r="O20" s="28"/>
      <c r="P20" s="11"/>
      <c r="Q20" s="11"/>
      <c r="R20" s="11"/>
    </row>
    <row r="21" spans="2:18" ht="18" customHeight="1" x14ac:dyDescent="0.3">
      <c r="B21" s="68" t="s">
        <v>175</v>
      </c>
      <c r="C21" s="69"/>
      <c r="D21" s="70"/>
      <c r="E21" s="18" t="s">
        <v>10</v>
      </c>
      <c r="F21" s="19"/>
      <c r="G21" s="20"/>
      <c r="H21" s="21">
        <v>1152</v>
      </c>
      <c r="I21" s="22"/>
      <c r="J21" s="23">
        <v>152990.92000000001</v>
      </c>
      <c r="K21" s="24"/>
      <c r="L21" s="25"/>
      <c r="M21" s="26">
        <v>132.80000000000001</v>
      </c>
      <c r="N21" s="27"/>
      <c r="O21" s="28"/>
      <c r="P21" s="11"/>
      <c r="Q21" s="11"/>
      <c r="R21" s="11"/>
    </row>
    <row r="22" spans="2:18" ht="18" customHeight="1" x14ac:dyDescent="0.3">
      <c r="B22" s="68" t="s">
        <v>176</v>
      </c>
      <c r="C22" s="69"/>
      <c r="D22" s="70"/>
      <c r="E22" s="18" t="s">
        <v>10</v>
      </c>
      <c r="F22" s="19"/>
      <c r="G22" s="20"/>
      <c r="H22" s="21">
        <v>1176</v>
      </c>
      <c r="I22" s="22"/>
      <c r="J22" s="23">
        <v>151728.4</v>
      </c>
      <c r="K22" s="24"/>
      <c r="L22" s="25"/>
      <c r="M22" s="26">
        <v>129.02000000000001</v>
      </c>
      <c r="N22" s="27"/>
      <c r="O22" s="28"/>
      <c r="P22" s="11"/>
      <c r="Q22" s="11"/>
      <c r="R22" s="11"/>
    </row>
    <row r="23" spans="2:18" ht="18" customHeight="1" x14ac:dyDescent="0.3">
      <c r="B23" s="68" t="s">
        <v>177</v>
      </c>
      <c r="C23" s="69"/>
      <c r="D23" s="70"/>
      <c r="E23" s="18" t="s">
        <v>11</v>
      </c>
      <c r="F23" s="19"/>
      <c r="G23" s="20"/>
      <c r="H23" s="21">
        <v>1188</v>
      </c>
      <c r="I23" s="22"/>
      <c r="J23" s="23">
        <v>151157.07999999999</v>
      </c>
      <c r="K23" s="24"/>
      <c r="L23" s="25"/>
      <c r="M23" s="26">
        <v>127.24</v>
      </c>
      <c r="N23" s="27"/>
      <c r="O23" s="28"/>
      <c r="P23" s="11"/>
      <c r="Q23" s="11"/>
      <c r="R23" s="11"/>
    </row>
    <row r="24" spans="2:18" ht="18" customHeight="1" x14ac:dyDescent="0.3">
      <c r="B24" s="68" t="s">
        <v>178</v>
      </c>
      <c r="C24" s="69"/>
      <c r="D24" s="70"/>
      <c r="E24" s="18" t="s">
        <v>11</v>
      </c>
      <c r="F24" s="19"/>
      <c r="G24" s="20"/>
      <c r="H24" s="21">
        <v>1188</v>
      </c>
      <c r="I24" s="22"/>
      <c r="J24" s="23">
        <v>150486.39999999999</v>
      </c>
      <c r="K24" s="24"/>
      <c r="L24" s="25"/>
      <c r="M24" s="26">
        <v>126.67</v>
      </c>
      <c r="N24" s="27"/>
      <c r="O24" s="28"/>
      <c r="P24" s="11"/>
      <c r="Q24" s="11"/>
      <c r="R24" s="11"/>
    </row>
    <row r="25" spans="2:18" ht="18" customHeight="1" x14ac:dyDescent="0.3">
      <c r="B25" s="68" t="s">
        <v>179</v>
      </c>
      <c r="C25" s="69"/>
      <c r="D25" s="70"/>
      <c r="E25" s="18" t="s">
        <v>11</v>
      </c>
      <c r="F25" s="19"/>
      <c r="G25" s="20"/>
      <c r="H25" s="21">
        <v>1296</v>
      </c>
      <c r="I25" s="22"/>
      <c r="J25" s="23">
        <v>155231.92000000001</v>
      </c>
      <c r="K25" s="24"/>
      <c r="L25" s="25"/>
      <c r="M25" s="26">
        <v>119.78</v>
      </c>
      <c r="N25" s="27"/>
      <c r="O25" s="28"/>
      <c r="P25" s="11"/>
      <c r="Q25" s="11"/>
      <c r="R25" s="11"/>
    </row>
    <row r="26" spans="2:18" ht="18" customHeight="1" x14ac:dyDescent="0.3">
      <c r="B26" s="68" t="s">
        <v>180</v>
      </c>
      <c r="C26" s="69"/>
      <c r="D26" s="70"/>
      <c r="E26" s="18" t="s">
        <v>11</v>
      </c>
      <c r="F26" s="19"/>
      <c r="G26" s="20"/>
      <c r="H26" s="21">
        <v>1296</v>
      </c>
      <c r="I26" s="22"/>
      <c r="J26" s="23">
        <v>155587.24</v>
      </c>
      <c r="K26" s="24"/>
      <c r="L26" s="25"/>
      <c r="M26" s="26">
        <v>120.05</v>
      </c>
      <c r="N26" s="27"/>
      <c r="O26" s="28"/>
      <c r="P26" s="11"/>
      <c r="Q26" s="11"/>
      <c r="R26" s="11"/>
    </row>
    <row r="27" spans="2:18" ht="18" customHeight="1" x14ac:dyDescent="0.3">
      <c r="B27" s="68" t="s">
        <v>181</v>
      </c>
      <c r="C27" s="69"/>
      <c r="D27" s="70"/>
      <c r="E27" s="18" t="s">
        <v>11</v>
      </c>
      <c r="F27" s="19"/>
      <c r="G27" s="20"/>
      <c r="H27" s="21">
        <v>1296</v>
      </c>
      <c r="I27" s="22"/>
      <c r="J27" s="23">
        <v>158185.72</v>
      </c>
      <c r="K27" s="24"/>
      <c r="L27" s="25"/>
      <c r="M27" s="26">
        <v>122.06</v>
      </c>
      <c r="N27" s="27"/>
      <c r="O27" s="28"/>
      <c r="P27" s="11"/>
      <c r="Q27" s="11"/>
      <c r="R27" s="11"/>
    </row>
    <row r="28" spans="2:18" ht="18" customHeight="1" x14ac:dyDescent="0.3">
      <c r="B28" s="68" t="s">
        <v>182</v>
      </c>
      <c r="C28" s="69"/>
      <c r="D28" s="70"/>
      <c r="E28" s="18" t="s">
        <v>11</v>
      </c>
      <c r="F28" s="19"/>
      <c r="G28" s="20"/>
      <c r="H28" s="21">
        <v>1296</v>
      </c>
      <c r="I28" s="22"/>
      <c r="J28" s="23">
        <v>158195.44</v>
      </c>
      <c r="K28" s="24"/>
      <c r="L28" s="25"/>
      <c r="M28" s="26">
        <v>122.06</v>
      </c>
      <c r="N28" s="27"/>
      <c r="O28" s="28"/>
      <c r="P28" s="11"/>
      <c r="Q28" s="11"/>
      <c r="R28" s="11"/>
    </row>
    <row r="29" spans="2:18" ht="18" customHeight="1" x14ac:dyDescent="0.3">
      <c r="B29" s="68" t="s">
        <v>183</v>
      </c>
      <c r="C29" s="69"/>
      <c r="D29" s="70"/>
      <c r="E29" s="18" t="s">
        <v>11</v>
      </c>
      <c r="F29" s="19"/>
      <c r="G29" s="20"/>
      <c r="H29" s="21">
        <v>1296</v>
      </c>
      <c r="I29" s="22"/>
      <c r="J29" s="23">
        <v>160585.48000000001</v>
      </c>
      <c r="K29" s="24"/>
      <c r="L29" s="25"/>
      <c r="M29" s="26">
        <v>123.91</v>
      </c>
      <c r="N29" s="27"/>
      <c r="O29" s="28"/>
      <c r="P29" s="11"/>
      <c r="Q29" s="11"/>
      <c r="R29" s="11"/>
    </row>
    <row r="30" spans="2:18" ht="18" customHeight="1" x14ac:dyDescent="0.3">
      <c r="B30" s="68" t="s">
        <v>184</v>
      </c>
      <c r="C30" s="69"/>
      <c r="D30" s="70"/>
      <c r="E30" s="18" t="s">
        <v>11</v>
      </c>
      <c r="F30" s="19"/>
      <c r="G30" s="20"/>
      <c r="H30" s="21">
        <v>1404</v>
      </c>
      <c r="I30" s="22"/>
      <c r="J30" s="23">
        <v>166128.04</v>
      </c>
      <c r="K30" s="24"/>
      <c r="L30" s="25"/>
      <c r="M30" s="26">
        <v>118.32</v>
      </c>
      <c r="N30" s="27"/>
      <c r="O30" s="28"/>
      <c r="P30" s="11"/>
      <c r="Q30" s="11"/>
      <c r="R30" s="11"/>
    </row>
    <row r="31" spans="2:18" ht="18" customHeight="1" x14ac:dyDescent="0.3">
      <c r="B31" s="68" t="s">
        <v>185</v>
      </c>
      <c r="C31" s="69"/>
      <c r="D31" s="70"/>
      <c r="E31" s="18" t="s">
        <v>11</v>
      </c>
      <c r="F31" s="19"/>
      <c r="G31" s="20"/>
      <c r="H31" s="21">
        <v>1512</v>
      </c>
      <c r="I31" s="22"/>
      <c r="J31" s="23">
        <v>166246.84</v>
      </c>
      <c r="K31" s="24"/>
      <c r="L31" s="25"/>
      <c r="M31" s="26">
        <v>109.95</v>
      </c>
      <c r="N31" s="27"/>
      <c r="O31" s="28"/>
      <c r="P31" s="11"/>
      <c r="Q31" s="11"/>
      <c r="R31" s="11"/>
    </row>
    <row r="32" spans="2:18" ht="18" customHeight="1" x14ac:dyDescent="0.3">
      <c r="B32" s="68" t="s">
        <v>186</v>
      </c>
      <c r="C32" s="69"/>
      <c r="D32" s="70"/>
      <c r="E32" s="18" t="s">
        <v>11</v>
      </c>
      <c r="F32" s="19"/>
      <c r="G32" s="20"/>
      <c r="H32" s="21">
        <v>1512</v>
      </c>
      <c r="I32" s="22"/>
      <c r="J32" s="23">
        <v>166745.79999999999</v>
      </c>
      <c r="K32" s="24"/>
      <c r="L32" s="25"/>
      <c r="M32" s="26">
        <v>110.28</v>
      </c>
      <c r="N32" s="27"/>
      <c r="O32" s="28"/>
      <c r="P32" s="11"/>
      <c r="Q32" s="11"/>
      <c r="R32" s="11"/>
    </row>
    <row r="33" spans="1:21" ht="18" customHeight="1" x14ac:dyDescent="0.3">
      <c r="B33" s="68" t="s">
        <v>187</v>
      </c>
      <c r="C33" s="69"/>
      <c r="D33" s="70"/>
      <c r="E33" s="18" t="s">
        <v>11</v>
      </c>
      <c r="F33" s="19"/>
      <c r="G33" s="20"/>
      <c r="H33" s="21">
        <v>1512</v>
      </c>
      <c r="I33" s="22"/>
      <c r="J33" s="23">
        <v>169371.28</v>
      </c>
      <c r="K33" s="24"/>
      <c r="L33" s="25"/>
      <c r="M33" s="26">
        <v>112.02</v>
      </c>
      <c r="N33" s="27"/>
      <c r="O33" s="28"/>
      <c r="P33" s="11"/>
      <c r="Q33" s="11"/>
      <c r="R33" s="11"/>
    </row>
    <row r="34" spans="1:21" ht="18" customHeight="1" x14ac:dyDescent="0.3">
      <c r="B34" s="68" t="s">
        <v>188</v>
      </c>
      <c r="C34" s="69"/>
      <c r="D34" s="70"/>
      <c r="E34" s="18" t="s">
        <v>11</v>
      </c>
      <c r="F34" s="19"/>
      <c r="G34" s="20"/>
      <c r="H34" s="21">
        <v>1512</v>
      </c>
      <c r="I34" s="22"/>
      <c r="J34" s="23">
        <v>167902.48</v>
      </c>
      <c r="K34" s="24"/>
      <c r="L34" s="25"/>
      <c r="M34" s="26">
        <v>111.05</v>
      </c>
      <c r="N34" s="27"/>
      <c r="O34" s="28"/>
      <c r="P34" s="11"/>
      <c r="Q34" s="11"/>
      <c r="R34" s="11"/>
    </row>
    <row r="35" spans="1:21" ht="18" customHeight="1" x14ac:dyDescent="0.3">
      <c r="B35" s="68" t="s">
        <v>189</v>
      </c>
      <c r="C35" s="69"/>
      <c r="D35" s="70"/>
      <c r="E35" s="18" t="s">
        <v>11</v>
      </c>
      <c r="F35" s="19"/>
      <c r="G35" s="20"/>
      <c r="H35" s="21">
        <v>1620</v>
      </c>
      <c r="I35" s="22"/>
      <c r="J35" s="23">
        <v>172430.92</v>
      </c>
      <c r="K35" s="24"/>
      <c r="L35" s="25"/>
      <c r="M35" s="26">
        <v>106.44</v>
      </c>
      <c r="N35" s="27"/>
      <c r="O35" s="28"/>
      <c r="P35" s="11"/>
      <c r="Q35" s="11"/>
      <c r="R35" s="11"/>
    </row>
    <row r="36" spans="1:21" ht="18" customHeight="1" x14ac:dyDescent="0.3">
      <c r="B36" s="68" t="s">
        <v>190</v>
      </c>
      <c r="C36" s="69"/>
      <c r="D36" s="70"/>
      <c r="E36" s="18" t="s">
        <v>11</v>
      </c>
      <c r="F36" s="19"/>
      <c r="G36" s="20"/>
      <c r="H36" s="21">
        <v>1836</v>
      </c>
      <c r="I36" s="22"/>
      <c r="J36" s="23">
        <v>184535.56</v>
      </c>
      <c r="K36" s="24"/>
      <c r="L36" s="25"/>
      <c r="M36" s="26">
        <v>100.51</v>
      </c>
      <c r="N36" s="27"/>
      <c r="O36" s="28"/>
      <c r="P36" s="11"/>
      <c r="Q36" s="11"/>
      <c r="R36" s="11"/>
    </row>
    <row r="37" spans="1:21" ht="18" customHeight="1" x14ac:dyDescent="0.3">
      <c r="B37" s="68" t="s">
        <v>191</v>
      </c>
      <c r="C37" s="69"/>
      <c r="D37" s="70"/>
      <c r="E37" s="18" t="s">
        <v>11</v>
      </c>
      <c r="F37" s="19"/>
      <c r="G37" s="20"/>
      <c r="H37" s="21">
        <v>1836</v>
      </c>
      <c r="I37" s="22"/>
      <c r="J37" s="23">
        <v>185942.8</v>
      </c>
      <c r="K37" s="24"/>
      <c r="L37" s="25"/>
      <c r="M37" s="26">
        <v>101.28</v>
      </c>
      <c r="N37" s="27"/>
      <c r="O37" s="28"/>
      <c r="P37" s="11"/>
      <c r="Q37" s="11"/>
      <c r="R37" s="11"/>
    </row>
    <row r="38" spans="1:21" ht="18" customHeight="1" x14ac:dyDescent="0.3">
      <c r="B38" s="68" t="s">
        <v>192</v>
      </c>
      <c r="C38" s="69"/>
      <c r="D38" s="70"/>
      <c r="E38" s="18" t="s">
        <v>11</v>
      </c>
      <c r="F38" s="19"/>
      <c r="G38" s="20"/>
      <c r="H38" s="21">
        <v>1917</v>
      </c>
      <c r="I38" s="22"/>
      <c r="J38" s="23">
        <v>189376.12</v>
      </c>
      <c r="K38" s="24"/>
      <c r="L38" s="25"/>
      <c r="M38" s="26">
        <v>98.79</v>
      </c>
      <c r="N38" s="27"/>
      <c r="O38" s="28"/>
      <c r="P38" s="11"/>
      <c r="Q38" s="11"/>
      <c r="R38" s="11"/>
    </row>
    <row r="39" spans="1:21" ht="18.75" customHeight="1" x14ac:dyDescent="0.3">
      <c r="B39" s="12" t="s">
        <v>12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4"/>
      <c r="P39" s="11"/>
      <c r="Q39" s="11"/>
      <c r="R39" s="11"/>
    </row>
    <row r="40" spans="1:21" ht="18" customHeight="1" x14ac:dyDescent="0.3">
      <c r="A40" t="str">
        <f>LEFT(SUBSTITUTE(B40, " ", ""), 7)</f>
        <v>ING362A</v>
      </c>
      <c r="B40" s="68" t="s">
        <v>194</v>
      </c>
      <c r="C40" s="69"/>
      <c r="D40" s="70"/>
      <c r="E40" s="18" t="s">
        <v>10</v>
      </c>
      <c r="F40" s="19"/>
      <c r="G40" s="20"/>
      <c r="H40" s="21">
        <v>852</v>
      </c>
      <c r="I40" s="22"/>
      <c r="J40" s="23">
        <v>146831.67999999999</v>
      </c>
      <c r="K40" s="24"/>
      <c r="L40" s="25"/>
      <c r="M40" s="26">
        <v>172.34</v>
      </c>
      <c r="N40" s="27"/>
      <c r="O40" s="28"/>
      <c r="P40" t="str">
        <f>PROPER(MID(B40, 12, LEN(B40)-11))</f>
        <v>Myrtle</v>
      </c>
      <c r="T40" t="str">
        <f>"Inspiration Gold Series / " &amp; P40 &amp; " " &amp; A40</f>
        <v>Inspiration Gold Series / Myrtle ING362A</v>
      </c>
      <c r="U40" t="str">
        <f>"product_GWing-" &amp; RIGHT(A40, 4)</f>
        <v>product_GWing-362A</v>
      </c>
    </row>
    <row r="41" spans="1:21" ht="18" customHeight="1" x14ac:dyDescent="0.3">
      <c r="A41" t="str">
        <f t="shared" ref="A41:A60" si="0">LEFT(SUBSTITUTE(B41, " ", ""), 7)</f>
        <v>ING361F</v>
      </c>
      <c r="B41" s="68" t="s">
        <v>195</v>
      </c>
      <c r="C41" s="69"/>
      <c r="D41" s="70"/>
      <c r="E41" s="18" t="s">
        <v>11</v>
      </c>
      <c r="F41" s="19"/>
      <c r="G41" s="20"/>
      <c r="H41" s="21">
        <v>958</v>
      </c>
      <c r="I41" s="22"/>
      <c r="J41" s="23">
        <v>149725</v>
      </c>
      <c r="K41" s="24"/>
      <c r="L41" s="25"/>
      <c r="M41" s="26">
        <v>156.29</v>
      </c>
      <c r="N41" s="27"/>
      <c r="O41" s="28"/>
      <c r="P41" t="str">
        <f t="shared" ref="P41:P60" si="1">PROPER(MID(B41, 12, LEN(B41)-11))</f>
        <v>Dogwood</v>
      </c>
      <c r="T41" t="str">
        <f t="shared" ref="T41:T60" si="2">"Inspiration Gold Series / " &amp; P41 &amp; " " &amp; A41</f>
        <v>Inspiration Gold Series / Dogwood ING361F</v>
      </c>
      <c r="U41" t="str">
        <f t="shared" ref="U41:U60" si="3">"product_GWing-" &amp; RIGHT(A41, 4)</f>
        <v>product_GWing-361F</v>
      </c>
    </row>
    <row r="42" spans="1:21" ht="18" customHeight="1" x14ac:dyDescent="0.3">
      <c r="A42" t="str">
        <f t="shared" si="0"/>
        <v>ING382F</v>
      </c>
      <c r="B42" s="68" t="s">
        <v>196</v>
      </c>
      <c r="C42" s="69"/>
      <c r="D42" s="70"/>
      <c r="E42" s="18" t="s">
        <v>11</v>
      </c>
      <c r="F42" s="19"/>
      <c r="G42" s="20"/>
      <c r="H42" s="21">
        <v>1026</v>
      </c>
      <c r="I42" s="22"/>
      <c r="J42" s="23">
        <v>155540.79999999999</v>
      </c>
      <c r="K42" s="24"/>
      <c r="L42" s="25"/>
      <c r="M42" s="26">
        <v>151.6</v>
      </c>
      <c r="N42" s="27"/>
      <c r="O42" s="28"/>
      <c r="P42" t="str">
        <f t="shared" si="1"/>
        <v>Redwood Ii</v>
      </c>
      <c r="T42" t="str">
        <f t="shared" si="2"/>
        <v>Inspiration Gold Series / Redwood Ii ING382F</v>
      </c>
      <c r="U42" t="str">
        <f t="shared" si="3"/>
        <v>product_GWing-382F</v>
      </c>
    </row>
    <row r="43" spans="1:21" ht="18" customHeight="1" x14ac:dyDescent="0.3">
      <c r="A43" t="str">
        <f t="shared" si="0"/>
        <v>ING485F</v>
      </c>
      <c r="B43" s="68" t="s">
        <v>197</v>
      </c>
      <c r="C43" s="69"/>
      <c r="D43" s="70"/>
      <c r="E43" s="18" t="s">
        <v>11</v>
      </c>
      <c r="F43" s="19"/>
      <c r="G43" s="20"/>
      <c r="H43" s="21">
        <v>1296</v>
      </c>
      <c r="I43" s="22"/>
      <c r="J43" s="23">
        <v>173008.72</v>
      </c>
      <c r="K43" s="24"/>
      <c r="L43" s="25"/>
      <c r="M43" s="26">
        <v>133.49</v>
      </c>
      <c r="N43" s="27"/>
      <c r="O43" s="28"/>
      <c r="P43" t="str">
        <f t="shared" si="1"/>
        <v>Blue Spruce</v>
      </c>
      <c r="T43" t="str">
        <f t="shared" si="2"/>
        <v>Inspiration Gold Series / Blue Spruce ING485F</v>
      </c>
      <c r="U43" t="str">
        <f t="shared" si="3"/>
        <v>product_GWing-485F</v>
      </c>
    </row>
    <row r="44" spans="1:21" ht="18" customHeight="1" x14ac:dyDescent="0.3">
      <c r="A44" t="str">
        <f t="shared" si="0"/>
        <v>ING486F</v>
      </c>
      <c r="B44" s="68" t="s">
        <v>198</v>
      </c>
      <c r="C44" s="69"/>
      <c r="D44" s="70"/>
      <c r="E44" s="18" t="s">
        <v>11</v>
      </c>
      <c r="F44" s="19"/>
      <c r="G44" s="20"/>
      <c r="H44" s="21">
        <v>1296</v>
      </c>
      <c r="I44" s="22"/>
      <c r="J44" s="23">
        <v>169301.08</v>
      </c>
      <c r="K44" s="24"/>
      <c r="L44" s="25"/>
      <c r="M44" s="26">
        <v>130.63</v>
      </c>
      <c r="N44" s="27"/>
      <c r="O44" s="28"/>
      <c r="P44" t="str">
        <f t="shared" si="1"/>
        <v>Manzanita</v>
      </c>
      <c r="T44" t="str">
        <f t="shared" si="2"/>
        <v>Inspiration Gold Series / Manzanita ING486F</v>
      </c>
      <c r="U44" t="str">
        <f t="shared" si="3"/>
        <v>product_GWing-486F</v>
      </c>
    </row>
    <row r="45" spans="1:21" ht="18" customHeight="1" x14ac:dyDescent="0.3">
      <c r="A45" t="str">
        <f t="shared" si="0"/>
        <v>ING524F</v>
      </c>
      <c r="B45" s="68" t="s">
        <v>199</v>
      </c>
      <c r="C45" s="69"/>
      <c r="D45" s="70"/>
      <c r="E45" s="18" t="s">
        <v>11</v>
      </c>
      <c r="F45" s="19"/>
      <c r="G45" s="20"/>
      <c r="H45" s="21">
        <v>1404</v>
      </c>
      <c r="I45" s="22"/>
      <c r="J45" s="23">
        <v>177541.48</v>
      </c>
      <c r="K45" s="24"/>
      <c r="L45" s="25"/>
      <c r="M45" s="26">
        <v>126.45</v>
      </c>
      <c r="N45" s="27"/>
      <c r="O45" s="28"/>
      <c r="P45" t="str">
        <f t="shared" si="1"/>
        <v>Wisteria</v>
      </c>
      <c r="T45" t="str">
        <f t="shared" si="2"/>
        <v>Inspiration Gold Series / Wisteria ING524F</v>
      </c>
      <c r="U45" t="str">
        <f t="shared" si="3"/>
        <v>product_GWing-524F</v>
      </c>
    </row>
    <row r="46" spans="1:21" ht="18" customHeight="1" x14ac:dyDescent="0.3">
      <c r="A46" t="str">
        <f t="shared" si="0"/>
        <v>ING525F</v>
      </c>
      <c r="B46" s="68" t="s">
        <v>200</v>
      </c>
      <c r="C46" s="69"/>
      <c r="D46" s="70"/>
      <c r="E46" s="18" t="s">
        <v>11</v>
      </c>
      <c r="F46" s="19"/>
      <c r="G46" s="20"/>
      <c r="H46" s="21">
        <v>1404</v>
      </c>
      <c r="I46" s="22"/>
      <c r="J46" s="23">
        <v>175565.08</v>
      </c>
      <c r="K46" s="24"/>
      <c r="L46" s="25"/>
      <c r="M46" s="26">
        <v>125.05</v>
      </c>
      <c r="N46" s="27"/>
      <c r="O46" s="28"/>
      <c r="P46" t="str">
        <f>PROPER(MID(B46, 12, LEN(B46)-11))</f>
        <v>Black Walnut</v>
      </c>
      <c r="T46" t="str">
        <f t="shared" si="2"/>
        <v>Inspiration Gold Series / Black Walnut ING525F</v>
      </c>
      <c r="U46" t="str">
        <f t="shared" si="3"/>
        <v>product_GWing-525F</v>
      </c>
    </row>
    <row r="47" spans="1:21" ht="18" customHeight="1" x14ac:dyDescent="0.3">
      <c r="A47" t="str">
        <f t="shared" si="0"/>
        <v>ING561F</v>
      </c>
      <c r="B47" s="68" t="s">
        <v>201</v>
      </c>
      <c r="C47" s="69"/>
      <c r="D47" s="70"/>
      <c r="E47" s="18" t="s">
        <v>11</v>
      </c>
      <c r="F47" s="19"/>
      <c r="G47" s="20"/>
      <c r="H47" s="21">
        <v>1512</v>
      </c>
      <c r="I47" s="22"/>
      <c r="J47" s="23">
        <v>187243.12</v>
      </c>
      <c r="K47" s="24"/>
      <c r="L47" s="25"/>
      <c r="M47" s="26">
        <v>123.84</v>
      </c>
      <c r="N47" s="27"/>
      <c r="O47" s="28"/>
      <c r="P47" t="str">
        <f t="shared" si="1"/>
        <v>Spruce</v>
      </c>
      <c r="T47" t="str">
        <f t="shared" si="2"/>
        <v>Inspiration Gold Series / Spruce ING561F</v>
      </c>
      <c r="U47" t="str">
        <f t="shared" si="3"/>
        <v>product_GWing-561F</v>
      </c>
    </row>
    <row r="48" spans="1:21" ht="18" customHeight="1" x14ac:dyDescent="0.3">
      <c r="A48" t="str">
        <f t="shared" si="0"/>
        <v>ING563F</v>
      </c>
      <c r="B48" s="68" t="s">
        <v>202</v>
      </c>
      <c r="C48" s="69"/>
      <c r="D48" s="70"/>
      <c r="E48" s="18" t="s">
        <v>11</v>
      </c>
      <c r="F48" s="19"/>
      <c r="G48" s="20"/>
      <c r="H48" s="21">
        <v>1512</v>
      </c>
      <c r="I48" s="22"/>
      <c r="J48" s="23">
        <v>183446.92</v>
      </c>
      <c r="K48" s="24"/>
      <c r="L48" s="25"/>
      <c r="M48" s="26">
        <v>121.33</v>
      </c>
      <c r="N48" s="27"/>
      <c r="O48" s="28"/>
      <c r="P48" t="str">
        <f t="shared" si="1"/>
        <v>Cottonwood</v>
      </c>
      <c r="T48" t="str">
        <f t="shared" si="2"/>
        <v>Inspiration Gold Series / Cottonwood ING563F</v>
      </c>
      <c r="U48" t="str">
        <f t="shared" si="3"/>
        <v>product_GWing-563F</v>
      </c>
    </row>
    <row r="49" spans="1:21" ht="18" customHeight="1" x14ac:dyDescent="0.3">
      <c r="A49" t="str">
        <f t="shared" si="0"/>
        <v>ING564F</v>
      </c>
      <c r="B49" s="68" t="s">
        <v>203</v>
      </c>
      <c r="C49" s="69"/>
      <c r="D49" s="70"/>
      <c r="E49" s="18" t="s">
        <v>11</v>
      </c>
      <c r="F49" s="19"/>
      <c r="G49" s="20"/>
      <c r="H49" s="21">
        <v>1512</v>
      </c>
      <c r="I49" s="22"/>
      <c r="J49" s="23">
        <v>177772.6</v>
      </c>
      <c r="K49" s="24"/>
      <c r="L49" s="25"/>
      <c r="M49" s="26">
        <v>117.57</v>
      </c>
      <c r="N49" s="27"/>
      <c r="O49" s="28"/>
      <c r="P49" t="str">
        <f t="shared" si="1"/>
        <v>Shasta</v>
      </c>
      <c r="T49" t="str">
        <f t="shared" si="2"/>
        <v>Inspiration Gold Series / Shasta ING564F</v>
      </c>
      <c r="U49" t="str">
        <f t="shared" si="3"/>
        <v>product_GWing-564F</v>
      </c>
    </row>
    <row r="50" spans="1:21" ht="18" customHeight="1" x14ac:dyDescent="0.3">
      <c r="A50" t="str">
        <f t="shared" si="0"/>
        <v>ING565F</v>
      </c>
      <c r="B50" s="15" t="s">
        <v>13</v>
      </c>
      <c r="C50" s="16"/>
      <c r="D50" s="17"/>
      <c r="E50" s="18" t="s">
        <v>11</v>
      </c>
      <c r="F50" s="19"/>
      <c r="G50" s="20"/>
      <c r="H50" s="21">
        <v>1512</v>
      </c>
      <c r="I50" s="22"/>
      <c r="J50" s="23">
        <v>175851.28</v>
      </c>
      <c r="K50" s="24"/>
      <c r="L50" s="25"/>
      <c r="M50" s="26">
        <v>116.3</v>
      </c>
      <c r="N50" s="27"/>
      <c r="O50" s="28"/>
      <c r="P50" t="str">
        <f t="shared" si="1"/>
        <v>Scarlet Oak</v>
      </c>
      <c r="T50" t="str">
        <f t="shared" si="2"/>
        <v>Inspiration Gold Series / Scarlet Oak ING565F</v>
      </c>
      <c r="U50" t="str">
        <f t="shared" si="3"/>
        <v>product_GWing-565F</v>
      </c>
    </row>
    <row r="51" spans="1:21" ht="18" customHeight="1" x14ac:dyDescent="0.3">
      <c r="A51" t="str">
        <f t="shared" si="0"/>
        <v>INS605F</v>
      </c>
      <c r="B51" s="15" t="s">
        <v>14</v>
      </c>
      <c r="C51" s="16"/>
      <c r="D51" s="17"/>
      <c r="E51" s="18" t="s">
        <v>11</v>
      </c>
      <c r="F51" s="19"/>
      <c r="G51" s="20"/>
      <c r="H51" s="21">
        <v>1620</v>
      </c>
      <c r="I51" s="22"/>
      <c r="J51" s="23">
        <v>189654.76</v>
      </c>
      <c r="K51" s="24"/>
      <c r="L51" s="25"/>
      <c r="M51" s="26">
        <v>117.07</v>
      </c>
      <c r="N51" s="27"/>
      <c r="O51" s="28"/>
      <c r="P51" t="str">
        <f t="shared" si="1"/>
        <v>Grand Noble</v>
      </c>
      <c r="T51" t="str">
        <f t="shared" si="2"/>
        <v>Inspiration Gold Series / Grand Noble INS605F</v>
      </c>
      <c r="U51" t="str">
        <f t="shared" si="3"/>
        <v>product_GWing-605F</v>
      </c>
    </row>
    <row r="52" spans="1:21" ht="18" customHeight="1" x14ac:dyDescent="0.3">
      <c r="A52" t="str">
        <f t="shared" si="0"/>
        <v>ING662F</v>
      </c>
      <c r="B52" s="15" t="s">
        <v>15</v>
      </c>
      <c r="C52" s="16"/>
      <c r="D52" s="17"/>
      <c r="E52" s="18" t="s">
        <v>11</v>
      </c>
      <c r="F52" s="19"/>
      <c r="G52" s="20"/>
      <c r="H52" s="21">
        <v>1782</v>
      </c>
      <c r="I52" s="22"/>
      <c r="J52" s="23">
        <v>200270.07999999999</v>
      </c>
      <c r="K52" s="24"/>
      <c r="L52" s="25"/>
      <c r="M52" s="26">
        <v>112.39</v>
      </c>
      <c r="N52" s="27"/>
      <c r="O52" s="28"/>
      <c r="P52" t="str">
        <f t="shared" si="1"/>
        <v>Shagbark Hickory</v>
      </c>
      <c r="T52" t="str">
        <f t="shared" si="2"/>
        <v>Inspiration Gold Series / Shagbark Hickory ING662F</v>
      </c>
      <c r="U52" t="str">
        <f t="shared" si="3"/>
        <v>product_GWing-662F</v>
      </c>
    </row>
    <row r="53" spans="1:21" ht="18" customHeight="1" x14ac:dyDescent="0.3">
      <c r="A53" t="str">
        <f t="shared" si="0"/>
        <v>ING681F</v>
      </c>
      <c r="B53" s="71" t="s">
        <v>204</v>
      </c>
      <c r="C53" s="72"/>
      <c r="D53" s="73"/>
      <c r="E53" s="18" t="s">
        <v>11</v>
      </c>
      <c r="F53" s="19"/>
      <c r="G53" s="20"/>
      <c r="H53" s="21">
        <v>1836</v>
      </c>
      <c r="I53" s="22"/>
      <c r="J53" s="23">
        <v>199435.24</v>
      </c>
      <c r="K53" s="24"/>
      <c r="L53" s="25"/>
      <c r="M53" s="26">
        <v>108.62</v>
      </c>
      <c r="N53" s="27"/>
      <c r="O53" s="28"/>
      <c r="P53" t="str">
        <f t="shared" si="1"/>
        <v>Eucalyptus</v>
      </c>
      <c r="T53" t="str">
        <f t="shared" si="2"/>
        <v>Inspiration Gold Series / Eucalyptus ING681F</v>
      </c>
      <c r="U53" t="str">
        <f t="shared" si="3"/>
        <v>product_GWing-681F</v>
      </c>
    </row>
    <row r="54" spans="1:21" ht="18" customHeight="1" x14ac:dyDescent="0.3">
      <c r="A54" t="str">
        <f t="shared" si="0"/>
        <v>ING684F</v>
      </c>
      <c r="B54" s="15" t="s">
        <v>16</v>
      </c>
      <c r="C54" s="16"/>
      <c r="D54" s="17"/>
      <c r="E54" s="18" t="s">
        <v>11</v>
      </c>
      <c r="F54" s="19"/>
      <c r="G54" s="20"/>
      <c r="H54" s="21">
        <v>1836</v>
      </c>
      <c r="I54" s="22"/>
      <c r="J54" s="23">
        <v>200017.36</v>
      </c>
      <c r="K54" s="24"/>
      <c r="L54" s="25"/>
      <c r="M54" s="26">
        <v>108.94</v>
      </c>
      <c r="N54" s="27"/>
      <c r="O54" s="28"/>
      <c r="P54" t="str">
        <f t="shared" si="1"/>
        <v>Western Larch</v>
      </c>
      <c r="T54" t="str">
        <f t="shared" si="2"/>
        <v>Inspiration Gold Series / Western Larch ING684F</v>
      </c>
      <c r="U54" t="str">
        <f t="shared" si="3"/>
        <v>product_GWing-684F</v>
      </c>
    </row>
    <row r="55" spans="1:21" ht="18" customHeight="1" x14ac:dyDescent="0.3">
      <c r="A55" t="str">
        <f t="shared" si="0"/>
        <v>ING762G</v>
      </c>
      <c r="B55" s="15" t="s">
        <v>17</v>
      </c>
      <c r="C55" s="16"/>
      <c r="D55" s="17"/>
      <c r="E55" s="18" t="s">
        <v>18</v>
      </c>
      <c r="F55" s="19"/>
      <c r="G55" s="20"/>
      <c r="H55" s="21">
        <v>2280</v>
      </c>
      <c r="I55" s="22"/>
      <c r="J55" s="23">
        <v>226699.44</v>
      </c>
      <c r="K55" s="24"/>
      <c r="L55" s="25"/>
      <c r="M55" s="26">
        <v>99.43</v>
      </c>
      <c r="N55" s="27"/>
      <c r="O55" s="28"/>
      <c r="P55" t="str">
        <f t="shared" si="1"/>
        <v>Giant Sequoia</v>
      </c>
      <c r="T55" t="str">
        <f t="shared" si="2"/>
        <v>Inspiration Gold Series / Giant Sequoia ING762G</v>
      </c>
      <c r="U55" t="str">
        <f t="shared" si="3"/>
        <v>product_GWing-762G</v>
      </c>
    </row>
    <row r="56" spans="1:21" ht="18" customHeight="1" x14ac:dyDescent="0.3">
      <c r="A56" t="str">
        <f t="shared" si="0"/>
        <v>ING764G</v>
      </c>
      <c r="B56" s="15" t="s">
        <v>19</v>
      </c>
      <c r="C56" s="16"/>
      <c r="D56" s="17"/>
      <c r="E56" s="18" t="s">
        <v>18</v>
      </c>
      <c r="F56" s="19"/>
      <c r="G56" s="20"/>
      <c r="H56" s="21">
        <v>2280</v>
      </c>
      <c r="I56" s="22"/>
      <c r="J56" s="23">
        <v>225200.4</v>
      </c>
      <c r="K56" s="24"/>
      <c r="L56" s="25"/>
      <c r="M56" s="26">
        <v>98.77</v>
      </c>
      <c r="N56" s="27"/>
      <c r="O56" s="28"/>
      <c r="P56" t="str">
        <f t="shared" si="1"/>
        <v>Weeping Willow</v>
      </c>
      <c r="T56" t="str">
        <f t="shared" si="2"/>
        <v>Inspiration Gold Series / Weeping Willow ING764G</v>
      </c>
      <c r="U56" t="str">
        <f t="shared" si="3"/>
        <v>product_GWing-764G</v>
      </c>
    </row>
    <row r="57" spans="1:21" ht="18" customHeight="1" x14ac:dyDescent="0.3">
      <c r="A57" t="str">
        <f t="shared" si="0"/>
        <v>ING601K</v>
      </c>
      <c r="B57" s="68" t="s">
        <v>205</v>
      </c>
      <c r="C57" s="69"/>
      <c r="D57" s="70"/>
      <c r="E57" s="18" t="s">
        <v>20</v>
      </c>
      <c r="F57" s="19"/>
      <c r="G57" s="20"/>
      <c r="H57" s="21">
        <v>2347</v>
      </c>
      <c r="I57" s="22"/>
      <c r="J57" s="23">
        <v>250359.96</v>
      </c>
      <c r="K57" s="24"/>
      <c r="L57" s="25"/>
      <c r="M57" s="26">
        <v>106.67</v>
      </c>
      <c r="N57" s="27"/>
      <c r="O57" s="28"/>
      <c r="P57" t="str">
        <f t="shared" si="1"/>
        <v>White Pine</v>
      </c>
      <c r="T57" t="str">
        <f t="shared" si="2"/>
        <v>Inspiration Gold Series / White Pine ING601K</v>
      </c>
      <c r="U57" t="str">
        <f t="shared" si="3"/>
        <v>product_GWing-601K</v>
      </c>
    </row>
    <row r="58" spans="1:21" ht="18" customHeight="1" x14ac:dyDescent="0.3">
      <c r="A58" t="str">
        <f t="shared" si="0"/>
        <v>ING602K</v>
      </c>
      <c r="B58" s="15" t="s">
        <v>21</v>
      </c>
      <c r="C58" s="16"/>
      <c r="D58" s="17"/>
      <c r="E58" s="18" t="s">
        <v>20</v>
      </c>
      <c r="F58" s="19"/>
      <c r="G58" s="20"/>
      <c r="H58" s="21">
        <v>2347</v>
      </c>
      <c r="I58" s="22"/>
      <c r="J58" s="23">
        <v>250774.68</v>
      </c>
      <c r="K58" s="24"/>
      <c r="L58" s="25"/>
      <c r="M58" s="26">
        <v>106.85</v>
      </c>
      <c r="N58" s="27"/>
      <c r="O58" s="28"/>
      <c r="P58" t="str">
        <f t="shared" si="1"/>
        <v>General Sherman</v>
      </c>
      <c r="T58" t="str">
        <f t="shared" si="2"/>
        <v>Inspiration Gold Series / General Sherman ING602K</v>
      </c>
      <c r="U58" t="str">
        <f t="shared" si="3"/>
        <v>product_GWing-602K</v>
      </c>
    </row>
    <row r="59" spans="1:21" ht="18" customHeight="1" x14ac:dyDescent="0.3">
      <c r="A59" t="str">
        <f t="shared" si="0"/>
        <v>ING621K</v>
      </c>
      <c r="B59" s="15" t="s">
        <v>22</v>
      </c>
      <c r="C59" s="16"/>
      <c r="D59" s="17"/>
      <c r="E59" s="18" t="s">
        <v>20</v>
      </c>
      <c r="F59" s="19"/>
      <c r="G59" s="20"/>
      <c r="H59" s="21">
        <v>2038</v>
      </c>
      <c r="I59" s="22"/>
      <c r="J59" s="23">
        <v>240840.84</v>
      </c>
      <c r="K59" s="24"/>
      <c r="L59" s="25"/>
      <c r="M59" s="26">
        <v>118.18</v>
      </c>
      <c r="N59" s="27"/>
      <c r="O59" s="28"/>
      <c r="P59" t="str">
        <f t="shared" si="1"/>
        <v>Tamarack</v>
      </c>
      <c r="T59" t="str">
        <f t="shared" si="2"/>
        <v>Inspiration Gold Series / Tamarack ING621K</v>
      </c>
      <c r="U59" t="str">
        <f t="shared" si="3"/>
        <v>product_GWing-621K</v>
      </c>
    </row>
    <row r="60" spans="1:21" ht="18" customHeight="1" x14ac:dyDescent="0.3">
      <c r="A60" t="str">
        <f t="shared" si="0"/>
        <v>ING682K</v>
      </c>
      <c r="B60" s="68" t="s">
        <v>193</v>
      </c>
      <c r="C60" s="69"/>
      <c r="D60" s="70"/>
      <c r="E60" s="18" t="s">
        <v>20</v>
      </c>
      <c r="F60" s="19"/>
      <c r="G60" s="20"/>
      <c r="H60" s="21">
        <v>2654</v>
      </c>
      <c r="I60" s="22"/>
      <c r="J60" s="23">
        <v>274845.71999999997</v>
      </c>
      <c r="K60" s="24"/>
      <c r="L60" s="25"/>
      <c r="M60" s="26">
        <v>103.56</v>
      </c>
      <c r="N60" s="27"/>
      <c r="O60" s="28"/>
      <c r="P60" t="str">
        <f t="shared" si="1"/>
        <v>Ute Prayer</v>
      </c>
      <c r="T60" t="str">
        <f t="shared" si="2"/>
        <v>Inspiration Gold Series / Ute Prayer ING682K</v>
      </c>
      <c r="U60" t="str">
        <f t="shared" si="3"/>
        <v>product_GWing-682K</v>
      </c>
    </row>
    <row r="61" spans="1:21" ht="18" customHeight="1" x14ac:dyDescent="0.3">
      <c r="B61" s="12" t="s">
        <v>23</v>
      </c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4"/>
    </row>
    <row r="62" spans="1:21" ht="18" customHeight="1" x14ac:dyDescent="0.3">
      <c r="B62" s="15" t="s">
        <v>24</v>
      </c>
      <c r="C62" s="16"/>
      <c r="D62" s="17"/>
      <c r="E62" s="18" t="s">
        <v>11</v>
      </c>
      <c r="F62" s="19"/>
      <c r="G62" s="20"/>
      <c r="H62" s="21">
        <v>1512</v>
      </c>
      <c r="I62" s="22"/>
      <c r="J62" s="23">
        <v>184354.12</v>
      </c>
      <c r="K62" s="24"/>
      <c r="L62" s="25"/>
      <c r="M62" s="26">
        <v>121.93</v>
      </c>
      <c r="N62" s="27"/>
      <c r="O62" s="28"/>
    </row>
    <row r="63" spans="1:21" ht="18" customHeight="1" x14ac:dyDescent="0.3">
      <c r="B63" s="12" t="s">
        <v>25</v>
      </c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4"/>
    </row>
    <row r="64" spans="1:21" ht="18" customHeight="1" x14ac:dyDescent="0.3">
      <c r="B64" s="15" t="s">
        <v>26</v>
      </c>
      <c r="C64" s="16"/>
      <c r="D64" s="17"/>
      <c r="E64" s="18" t="s">
        <v>11</v>
      </c>
      <c r="F64" s="19"/>
      <c r="G64" s="20"/>
      <c r="H64" s="21">
        <v>1458</v>
      </c>
      <c r="I64" s="22"/>
      <c r="J64" s="23">
        <v>175272.4</v>
      </c>
      <c r="K64" s="24"/>
      <c r="L64" s="25"/>
      <c r="M64" s="26">
        <v>120.21</v>
      </c>
      <c r="N64" s="27"/>
      <c r="O64" s="28"/>
    </row>
    <row r="65" spans="1:17" ht="18" customHeight="1" x14ac:dyDescent="0.3">
      <c r="B65" s="15" t="s">
        <v>26</v>
      </c>
      <c r="C65" s="16"/>
      <c r="D65" s="17"/>
      <c r="E65" s="18" t="s">
        <v>18</v>
      </c>
      <c r="F65" s="19"/>
      <c r="G65" s="20"/>
      <c r="H65" s="21">
        <v>1620</v>
      </c>
      <c r="I65" s="22"/>
      <c r="J65" s="23">
        <v>185889.88</v>
      </c>
      <c r="K65" s="24"/>
      <c r="L65" s="25"/>
      <c r="M65" s="26">
        <v>114.75</v>
      </c>
      <c r="N65" s="27"/>
      <c r="O65" s="28"/>
    </row>
    <row r="66" spans="1:17" ht="18" customHeight="1" x14ac:dyDescent="0.3">
      <c r="B66" s="12" t="s">
        <v>27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4"/>
    </row>
    <row r="67" spans="1:17" ht="18" customHeight="1" x14ac:dyDescent="0.3">
      <c r="B67" s="29" t="s">
        <v>28</v>
      </c>
      <c r="C67" s="30"/>
      <c r="D67" s="31"/>
      <c r="E67" s="18" t="s">
        <v>29</v>
      </c>
      <c r="F67" s="19"/>
      <c r="G67" s="20"/>
      <c r="H67" s="21">
        <v>2160</v>
      </c>
      <c r="I67" s="22"/>
      <c r="J67" s="23">
        <v>246486.96</v>
      </c>
      <c r="K67" s="24"/>
      <c r="L67" s="25"/>
      <c r="M67" s="26">
        <v>114.11</v>
      </c>
      <c r="N67" s="27"/>
      <c r="O67" s="28"/>
    </row>
    <row r="68" spans="1:17" ht="18" customHeight="1" x14ac:dyDescent="0.3">
      <c r="B68" s="12" t="s">
        <v>30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4"/>
    </row>
    <row r="69" spans="1:17" ht="18" customHeight="1" x14ac:dyDescent="0.3">
      <c r="B69" s="15" t="s">
        <v>31</v>
      </c>
      <c r="C69" s="16"/>
      <c r="D69" s="17"/>
      <c r="E69" s="18" t="s">
        <v>32</v>
      </c>
      <c r="F69" s="19"/>
      <c r="G69" s="20"/>
      <c r="H69" s="21">
        <v>396</v>
      </c>
      <c r="I69" s="22"/>
      <c r="J69" s="23">
        <v>81008.28</v>
      </c>
      <c r="K69" s="24"/>
      <c r="L69" s="25"/>
      <c r="M69" s="26">
        <v>204.57</v>
      </c>
      <c r="N69" s="27"/>
      <c r="O69" s="28"/>
    </row>
    <row r="70" spans="1:17" ht="17.5" customHeight="1" x14ac:dyDescent="0.3">
      <c r="B70" s="32" t="s">
        <v>33</v>
      </c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4"/>
    </row>
    <row r="71" spans="1:17" ht="69" customHeight="1" x14ac:dyDescent="0.3">
      <c r="B71" s="35" t="s">
        <v>34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</row>
    <row r="72" spans="1:17" ht="16" customHeight="1" x14ac:dyDescent="0.3">
      <c r="B72" s="1" t="s">
        <v>35</v>
      </c>
      <c r="C72" s="36" t="s">
        <v>36</v>
      </c>
      <c r="D72" s="37"/>
      <c r="E72" s="38"/>
      <c r="F72" s="36" t="s">
        <v>37</v>
      </c>
      <c r="G72" s="37"/>
      <c r="H72" s="38"/>
      <c r="I72" s="36" t="s">
        <v>38</v>
      </c>
      <c r="J72" s="37"/>
      <c r="K72" s="38"/>
      <c r="L72" s="36" t="s">
        <v>39</v>
      </c>
      <c r="M72" s="37"/>
      <c r="N72" s="38"/>
      <c r="O72" s="11"/>
      <c r="P72" s="11"/>
      <c r="Q72" s="11"/>
    </row>
    <row r="73" spans="1:17" ht="16" customHeight="1" x14ac:dyDescent="0.3">
      <c r="B73" s="39" t="s">
        <v>40</v>
      </c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1"/>
      <c r="O73" s="11"/>
      <c r="P73" s="11"/>
      <c r="Q73" s="11"/>
    </row>
    <row r="74" spans="1:17" ht="16" customHeight="1" x14ac:dyDescent="0.3">
      <c r="A74" t="str">
        <f>TEXT(F74,"#,##0")&amp;" SQ FT"</f>
        <v>480 SQ FT</v>
      </c>
      <c r="B74" s="74">
        <v>1001</v>
      </c>
      <c r="C74" s="42" t="s">
        <v>41</v>
      </c>
      <c r="D74" s="43"/>
      <c r="E74" s="44"/>
      <c r="F74" s="45">
        <v>480</v>
      </c>
      <c r="G74" s="46"/>
      <c r="H74" s="47"/>
      <c r="I74" s="48">
        <v>94871.24</v>
      </c>
      <c r="J74" s="49"/>
      <c r="K74" s="50"/>
      <c r="L74" s="51">
        <v>197.65</v>
      </c>
      <c r="M74" s="52"/>
      <c r="N74" s="53"/>
      <c r="O74" s="11"/>
      <c r="P74" s="11"/>
      <c r="Q74" s="11"/>
    </row>
    <row r="75" spans="1:17" ht="15" customHeight="1" x14ac:dyDescent="0.3">
      <c r="A75" t="str">
        <f t="shared" ref="A75:A138" si="4">TEXT(F75,"#,##0")&amp;" SQ FT"</f>
        <v>533 SQ FT</v>
      </c>
      <c r="B75" s="2">
        <v>1002</v>
      </c>
      <c r="C75" s="42" t="s">
        <v>42</v>
      </c>
      <c r="D75" s="43"/>
      <c r="E75" s="44"/>
      <c r="F75" s="45">
        <v>533</v>
      </c>
      <c r="G75" s="46"/>
      <c r="H75" s="47"/>
      <c r="I75" s="48">
        <v>99089.72</v>
      </c>
      <c r="J75" s="49"/>
      <c r="K75" s="50"/>
      <c r="L75" s="51">
        <v>185.91</v>
      </c>
      <c r="M75" s="52"/>
      <c r="N75" s="53"/>
      <c r="O75" s="11"/>
      <c r="P75" s="11"/>
      <c r="Q75" s="11"/>
    </row>
    <row r="76" spans="1:17" ht="16" customHeight="1" x14ac:dyDescent="0.3">
      <c r="A76" t="str">
        <f t="shared" si="4"/>
        <v>640 SQ FT</v>
      </c>
      <c r="B76" s="74">
        <v>1003</v>
      </c>
      <c r="C76" s="42" t="s">
        <v>43</v>
      </c>
      <c r="D76" s="43"/>
      <c r="E76" s="44"/>
      <c r="F76" s="45">
        <v>640</v>
      </c>
      <c r="G76" s="46"/>
      <c r="H76" s="47"/>
      <c r="I76" s="48">
        <v>108099.08</v>
      </c>
      <c r="J76" s="49"/>
      <c r="K76" s="50"/>
      <c r="L76" s="51">
        <v>168.9</v>
      </c>
      <c r="M76" s="52"/>
      <c r="N76" s="53"/>
      <c r="O76" s="11"/>
      <c r="P76" s="11"/>
      <c r="Q76" s="11"/>
    </row>
    <row r="77" spans="1:17" ht="16" customHeight="1" x14ac:dyDescent="0.3">
      <c r="A77" t="str">
        <f t="shared" si="4"/>
        <v>746 SQ FT</v>
      </c>
      <c r="B77" s="2">
        <v>1004</v>
      </c>
      <c r="C77" s="42" t="s">
        <v>44</v>
      </c>
      <c r="D77" s="43"/>
      <c r="E77" s="44"/>
      <c r="F77" s="45">
        <v>746</v>
      </c>
      <c r="G77" s="46"/>
      <c r="H77" s="47"/>
      <c r="I77" s="48">
        <v>115421.48</v>
      </c>
      <c r="J77" s="49"/>
      <c r="K77" s="50"/>
      <c r="L77" s="51">
        <v>154.72</v>
      </c>
      <c r="M77" s="52"/>
      <c r="N77" s="53"/>
      <c r="O77" s="11"/>
      <c r="P77" s="11"/>
      <c r="Q77" s="11"/>
    </row>
    <row r="78" spans="1:17" ht="16" customHeight="1" x14ac:dyDescent="0.3">
      <c r="A78" t="str">
        <f t="shared" si="4"/>
        <v>800 SQ FT</v>
      </c>
      <c r="B78" s="2">
        <v>1005</v>
      </c>
      <c r="C78" s="42" t="s">
        <v>45</v>
      </c>
      <c r="D78" s="43"/>
      <c r="E78" s="44"/>
      <c r="F78" s="45">
        <v>800</v>
      </c>
      <c r="G78" s="46"/>
      <c r="H78" s="47"/>
      <c r="I78" s="48">
        <v>119658.32</v>
      </c>
      <c r="J78" s="49"/>
      <c r="K78" s="50"/>
      <c r="L78" s="51">
        <v>149.57</v>
      </c>
      <c r="M78" s="52"/>
      <c r="N78" s="53"/>
      <c r="O78" s="11"/>
      <c r="P78" s="11"/>
      <c r="Q78" s="11"/>
    </row>
    <row r="79" spans="1:17" ht="15" customHeight="1" x14ac:dyDescent="0.3">
      <c r="A79" t="str">
        <f t="shared" si="4"/>
        <v>720 SQ FT</v>
      </c>
      <c r="B79" s="2">
        <v>1006</v>
      </c>
      <c r="C79" s="42" t="s">
        <v>46</v>
      </c>
      <c r="D79" s="43"/>
      <c r="E79" s="44"/>
      <c r="F79" s="45">
        <v>720</v>
      </c>
      <c r="G79" s="46"/>
      <c r="H79" s="47"/>
      <c r="I79" s="48">
        <v>113440.76</v>
      </c>
      <c r="J79" s="49"/>
      <c r="K79" s="50"/>
      <c r="L79" s="51">
        <v>157.56</v>
      </c>
      <c r="M79" s="52"/>
      <c r="N79" s="53"/>
      <c r="O79" s="11"/>
      <c r="P79" s="11"/>
      <c r="Q79" s="11"/>
    </row>
    <row r="80" spans="1:17" ht="16" customHeight="1" x14ac:dyDescent="0.3">
      <c r="A80" t="str">
        <f t="shared" si="4"/>
        <v>840 SQ FT</v>
      </c>
      <c r="B80" s="2">
        <v>1007</v>
      </c>
      <c r="C80" s="42" t="s">
        <v>47</v>
      </c>
      <c r="D80" s="43"/>
      <c r="E80" s="44"/>
      <c r="F80" s="45">
        <v>840</v>
      </c>
      <c r="G80" s="46"/>
      <c r="H80" s="47"/>
      <c r="I80" s="48">
        <v>123076.52</v>
      </c>
      <c r="J80" s="49"/>
      <c r="K80" s="50"/>
      <c r="L80" s="51">
        <v>146.52000000000001</v>
      </c>
      <c r="M80" s="52"/>
      <c r="N80" s="53"/>
      <c r="O80" s="11"/>
      <c r="P80" s="11"/>
      <c r="Q80" s="11"/>
    </row>
    <row r="81" spans="1:17" ht="16" customHeight="1" x14ac:dyDescent="0.3">
      <c r="A81" t="str">
        <f t="shared" si="4"/>
        <v>900 SQ FT</v>
      </c>
      <c r="B81" s="2">
        <v>1008</v>
      </c>
      <c r="C81" s="42" t="s">
        <v>48</v>
      </c>
      <c r="D81" s="43"/>
      <c r="E81" s="44"/>
      <c r="F81" s="45">
        <v>900</v>
      </c>
      <c r="G81" s="46"/>
      <c r="H81" s="47"/>
      <c r="I81" s="48">
        <v>127710.8</v>
      </c>
      <c r="J81" s="49"/>
      <c r="K81" s="50"/>
      <c r="L81" s="51">
        <v>141.9</v>
      </c>
      <c r="M81" s="52"/>
      <c r="N81" s="53"/>
      <c r="O81" s="11"/>
      <c r="P81" s="11"/>
      <c r="Q81" s="11"/>
    </row>
    <row r="82" spans="1:17" ht="16" customHeight="1" x14ac:dyDescent="0.3">
      <c r="A82" t="str">
        <f t="shared" si="4"/>
        <v>990 SQ FT</v>
      </c>
      <c r="B82" s="2">
        <v>1009</v>
      </c>
      <c r="C82" s="42" t="s">
        <v>49</v>
      </c>
      <c r="D82" s="43"/>
      <c r="E82" s="44"/>
      <c r="F82" s="45">
        <v>990</v>
      </c>
      <c r="G82" s="46"/>
      <c r="H82" s="47"/>
      <c r="I82" s="48">
        <v>134704.88</v>
      </c>
      <c r="J82" s="49"/>
      <c r="K82" s="50"/>
      <c r="L82" s="51">
        <v>136.07</v>
      </c>
      <c r="M82" s="52"/>
      <c r="N82" s="53"/>
      <c r="O82" s="11"/>
      <c r="P82" s="11"/>
      <c r="Q82" s="11"/>
    </row>
    <row r="83" spans="1:17" ht="15" customHeight="1" x14ac:dyDescent="0.3">
      <c r="A83" t="str">
        <f t="shared" si="4"/>
        <v>1,080 SQ FT</v>
      </c>
      <c r="B83" s="2">
        <v>1010</v>
      </c>
      <c r="C83" s="42" t="s">
        <v>50</v>
      </c>
      <c r="D83" s="43"/>
      <c r="E83" s="44"/>
      <c r="F83" s="54">
        <v>1080</v>
      </c>
      <c r="G83" s="55"/>
      <c r="H83" s="56"/>
      <c r="I83" s="48">
        <v>141843.68</v>
      </c>
      <c r="J83" s="49"/>
      <c r="K83" s="50"/>
      <c r="L83" s="51">
        <v>131.34</v>
      </c>
      <c r="M83" s="52"/>
      <c r="N83" s="53"/>
      <c r="O83" s="11"/>
      <c r="P83" s="11"/>
      <c r="Q83" s="11"/>
    </row>
    <row r="84" spans="1:17" ht="16" customHeight="1" x14ac:dyDescent="0.3">
      <c r="A84" t="str">
        <f t="shared" si="4"/>
        <v>1,173 SQ FT</v>
      </c>
      <c r="B84" s="2">
        <v>2015</v>
      </c>
      <c r="C84" s="42" t="s">
        <v>51</v>
      </c>
      <c r="D84" s="43"/>
      <c r="E84" s="44"/>
      <c r="F84" s="54">
        <v>1173</v>
      </c>
      <c r="G84" s="55"/>
      <c r="H84" s="56"/>
      <c r="I84" s="48">
        <v>164960.56</v>
      </c>
      <c r="J84" s="49"/>
      <c r="K84" s="50"/>
      <c r="L84" s="51">
        <v>140.63</v>
      </c>
      <c r="M84" s="52"/>
      <c r="N84" s="53"/>
      <c r="O84" s="11"/>
      <c r="P84" s="11"/>
      <c r="Q84" s="11"/>
    </row>
    <row r="85" spans="1:17" ht="16" customHeight="1" x14ac:dyDescent="0.3">
      <c r="A85" t="str">
        <f t="shared" si="4"/>
        <v>1,280 SQ FT</v>
      </c>
      <c r="B85" s="2">
        <v>2017</v>
      </c>
      <c r="C85" s="42" t="s">
        <v>52</v>
      </c>
      <c r="D85" s="43"/>
      <c r="E85" s="44"/>
      <c r="F85" s="54">
        <v>1280</v>
      </c>
      <c r="G85" s="55"/>
      <c r="H85" s="56"/>
      <c r="I85" s="48">
        <v>174561.76</v>
      </c>
      <c r="J85" s="49"/>
      <c r="K85" s="50"/>
      <c r="L85" s="51">
        <v>136.38</v>
      </c>
      <c r="M85" s="52"/>
      <c r="N85" s="53"/>
      <c r="O85" s="11"/>
      <c r="P85" s="11"/>
      <c r="Q85" s="11"/>
    </row>
    <row r="86" spans="1:17" ht="16" customHeight="1" x14ac:dyDescent="0.3">
      <c r="A86" t="str">
        <f t="shared" si="4"/>
        <v>1,280 SQ FT</v>
      </c>
      <c r="B86" s="2">
        <v>2019</v>
      </c>
      <c r="C86" s="42" t="s">
        <v>52</v>
      </c>
      <c r="D86" s="43"/>
      <c r="E86" s="44"/>
      <c r="F86" s="54">
        <v>1280</v>
      </c>
      <c r="G86" s="55"/>
      <c r="H86" s="56"/>
      <c r="I86" s="48">
        <v>175138.48</v>
      </c>
      <c r="J86" s="49"/>
      <c r="K86" s="50"/>
      <c r="L86" s="51">
        <v>136.83000000000001</v>
      </c>
      <c r="M86" s="52"/>
      <c r="N86" s="53"/>
      <c r="O86" s="11"/>
      <c r="P86" s="11"/>
      <c r="Q86" s="11"/>
    </row>
    <row r="87" spans="1:17" ht="15" customHeight="1" x14ac:dyDescent="0.3">
      <c r="A87" t="str">
        <f t="shared" si="4"/>
        <v>1,493 SQ FT</v>
      </c>
      <c r="B87" s="2">
        <v>2021</v>
      </c>
      <c r="C87" s="42" t="s">
        <v>53</v>
      </c>
      <c r="D87" s="43"/>
      <c r="E87" s="44"/>
      <c r="F87" s="54">
        <v>1493</v>
      </c>
      <c r="G87" s="55"/>
      <c r="H87" s="56"/>
      <c r="I87" s="48">
        <v>184819.6</v>
      </c>
      <c r="J87" s="49"/>
      <c r="K87" s="50"/>
      <c r="L87" s="51">
        <v>123.79</v>
      </c>
      <c r="M87" s="52"/>
      <c r="N87" s="53"/>
      <c r="O87" s="11"/>
      <c r="P87" s="11"/>
      <c r="Q87" s="11"/>
    </row>
    <row r="88" spans="1:17" ht="16" customHeight="1" x14ac:dyDescent="0.3">
      <c r="A88" t="str">
        <f t="shared" si="4"/>
        <v>1,493 SQ FT</v>
      </c>
      <c r="B88" s="74">
        <v>2022</v>
      </c>
      <c r="C88" s="42" t="s">
        <v>53</v>
      </c>
      <c r="D88" s="43"/>
      <c r="E88" s="44"/>
      <c r="F88" s="54">
        <v>1493</v>
      </c>
      <c r="G88" s="55"/>
      <c r="H88" s="56"/>
      <c r="I88" s="48">
        <v>184294.72</v>
      </c>
      <c r="J88" s="49"/>
      <c r="K88" s="50"/>
      <c r="L88" s="51">
        <v>123.44</v>
      </c>
      <c r="M88" s="52"/>
      <c r="N88" s="53"/>
      <c r="O88" s="11"/>
      <c r="P88" s="11"/>
      <c r="Q88" s="11"/>
    </row>
    <row r="89" spans="1:17" ht="16" customHeight="1" x14ac:dyDescent="0.3">
      <c r="A89" t="str">
        <f t="shared" si="4"/>
        <v>1,493 SQ FT</v>
      </c>
      <c r="B89" s="2">
        <v>2023</v>
      </c>
      <c r="C89" s="42" t="s">
        <v>53</v>
      </c>
      <c r="D89" s="43"/>
      <c r="E89" s="44"/>
      <c r="F89" s="54">
        <v>1493</v>
      </c>
      <c r="G89" s="55"/>
      <c r="H89" s="56"/>
      <c r="I89" s="48">
        <v>185359.6</v>
      </c>
      <c r="J89" s="49"/>
      <c r="K89" s="50"/>
      <c r="L89" s="51">
        <v>124.15</v>
      </c>
      <c r="M89" s="52"/>
      <c r="N89" s="53"/>
      <c r="O89" s="11"/>
      <c r="P89" s="11"/>
      <c r="Q89" s="11"/>
    </row>
    <row r="90" spans="1:17" ht="16" customHeight="1" x14ac:dyDescent="0.3">
      <c r="A90" t="str">
        <f t="shared" si="4"/>
        <v>1,600 SQ FT</v>
      </c>
      <c r="B90" s="2">
        <v>2024</v>
      </c>
      <c r="C90" s="42" t="s">
        <v>54</v>
      </c>
      <c r="D90" s="43"/>
      <c r="E90" s="44"/>
      <c r="F90" s="54">
        <v>1600</v>
      </c>
      <c r="G90" s="55"/>
      <c r="H90" s="56"/>
      <c r="I90" s="48">
        <v>192192.76</v>
      </c>
      <c r="J90" s="49"/>
      <c r="K90" s="50"/>
      <c r="L90" s="51">
        <v>120.12</v>
      </c>
      <c r="M90" s="52"/>
      <c r="N90" s="53"/>
      <c r="O90" s="11"/>
      <c r="P90" s="11"/>
      <c r="Q90" s="11"/>
    </row>
    <row r="91" spans="1:17" ht="15" customHeight="1" x14ac:dyDescent="0.3">
      <c r="A91" t="str">
        <f t="shared" si="4"/>
        <v>1,814 SQ FT</v>
      </c>
      <c r="B91" s="2">
        <v>2025</v>
      </c>
      <c r="C91" s="42" t="s">
        <v>55</v>
      </c>
      <c r="D91" s="43"/>
      <c r="E91" s="44"/>
      <c r="F91" s="54">
        <v>1814</v>
      </c>
      <c r="G91" s="55"/>
      <c r="H91" s="56"/>
      <c r="I91" s="48">
        <v>205851.51999999999</v>
      </c>
      <c r="J91" s="49"/>
      <c r="K91" s="50"/>
      <c r="L91" s="51">
        <v>113.48</v>
      </c>
      <c r="M91" s="52"/>
      <c r="N91" s="53"/>
      <c r="O91" s="11"/>
      <c r="P91" s="11"/>
      <c r="Q91" s="11"/>
    </row>
    <row r="92" spans="1:17" ht="16" customHeight="1" x14ac:dyDescent="0.3">
      <c r="A92" t="str">
        <f t="shared" si="4"/>
        <v>2,100 SQ FT</v>
      </c>
      <c r="B92" s="2">
        <v>2028</v>
      </c>
      <c r="C92" s="42" t="s">
        <v>56</v>
      </c>
      <c r="D92" s="43"/>
      <c r="E92" s="44"/>
      <c r="F92" s="54">
        <v>2100</v>
      </c>
      <c r="G92" s="55"/>
      <c r="H92" s="56"/>
      <c r="I92" s="48">
        <v>232317.6</v>
      </c>
      <c r="J92" s="49"/>
      <c r="K92" s="50"/>
      <c r="L92" s="51">
        <v>110.63</v>
      </c>
      <c r="M92" s="52"/>
      <c r="N92" s="53"/>
      <c r="O92" s="11"/>
      <c r="P92" s="11"/>
      <c r="Q92" s="11"/>
    </row>
    <row r="93" spans="1:17" ht="16" customHeight="1" x14ac:dyDescent="0.3">
      <c r="A93" t="str">
        <f t="shared" si="4"/>
        <v>864 SQ FT</v>
      </c>
      <c r="B93" s="74">
        <v>2029</v>
      </c>
      <c r="C93" s="42" t="s">
        <v>57</v>
      </c>
      <c r="D93" s="43"/>
      <c r="E93" s="44"/>
      <c r="F93" s="45">
        <v>864</v>
      </c>
      <c r="G93" s="46"/>
      <c r="H93" s="47"/>
      <c r="I93" s="48">
        <v>162111.51999999999</v>
      </c>
      <c r="J93" s="49"/>
      <c r="K93" s="50"/>
      <c r="L93" s="51">
        <v>187.63</v>
      </c>
      <c r="M93" s="52"/>
      <c r="N93" s="53"/>
      <c r="O93" s="11"/>
      <c r="P93" s="11"/>
      <c r="Q93" s="11"/>
    </row>
    <row r="94" spans="1:17" ht="16" customHeight="1" x14ac:dyDescent="0.3">
      <c r="A94" t="str">
        <f t="shared" si="4"/>
        <v>1,280 SQ FT</v>
      </c>
      <c r="B94" s="2">
        <v>2030</v>
      </c>
      <c r="C94" s="42" t="s">
        <v>52</v>
      </c>
      <c r="D94" s="43"/>
      <c r="E94" s="44"/>
      <c r="F94" s="54">
        <v>1280</v>
      </c>
      <c r="G94" s="55"/>
      <c r="H94" s="56"/>
      <c r="I94" s="48">
        <v>175699</v>
      </c>
      <c r="J94" s="49"/>
      <c r="K94" s="50"/>
      <c r="L94" s="51">
        <v>137.26</v>
      </c>
      <c r="M94" s="52"/>
      <c r="N94" s="53"/>
      <c r="O94" s="11"/>
      <c r="P94" s="11"/>
      <c r="Q94" s="11"/>
    </row>
    <row r="95" spans="1:17" ht="15" customHeight="1" x14ac:dyDescent="0.3">
      <c r="A95" t="str">
        <f t="shared" si="4"/>
        <v>1,280 SQ FT</v>
      </c>
      <c r="B95" s="2">
        <v>2031</v>
      </c>
      <c r="C95" s="42" t="s">
        <v>52</v>
      </c>
      <c r="D95" s="43"/>
      <c r="E95" s="44"/>
      <c r="F95" s="54">
        <v>1280</v>
      </c>
      <c r="G95" s="55"/>
      <c r="H95" s="56"/>
      <c r="I95" s="48">
        <v>175957.12</v>
      </c>
      <c r="J95" s="49"/>
      <c r="K95" s="50"/>
      <c r="L95" s="51">
        <v>137.47</v>
      </c>
      <c r="M95" s="52"/>
      <c r="N95" s="53"/>
      <c r="O95" s="11"/>
      <c r="P95" s="11"/>
      <c r="Q95" s="11"/>
    </row>
    <row r="96" spans="1:17" ht="16" customHeight="1" x14ac:dyDescent="0.3">
      <c r="A96" t="str">
        <f t="shared" si="4"/>
        <v>1,493 SQ FT</v>
      </c>
      <c r="B96" s="2">
        <v>2032</v>
      </c>
      <c r="C96" s="42" t="s">
        <v>53</v>
      </c>
      <c r="D96" s="43"/>
      <c r="E96" s="44"/>
      <c r="F96" s="54">
        <v>1493</v>
      </c>
      <c r="G96" s="55"/>
      <c r="H96" s="56"/>
      <c r="I96" s="48">
        <v>185178.16</v>
      </c>
      <c r="J96" s="49"/>
      <c r="K96" s="50"/>
      <c r="L96" s="51">
        <v>124.03</v>
      </c>
      <c r="M96" s="52"/>
      <c r="N96" s="53"/>
      <c r="O96" s="11"/>
      <c r="P96" s="11"/>
      <c r="Q96" s="11"/>
    </row>
    <row r="97" spans="1:17" ht="16" customHeight="1" x14ac:dyDescent="0.3">
      <c r="A97" t="str">
        <f t="shared" si="4"/>
        <v>1,493 SQ FT</v>
      </c>
      <c r="B97" s="2">
        <v>2033</v>
      </c>
      <c r="C97" s="42" t="s">
        <v>53</v>
      </c>
      <c r="D97" s="43"/>
      <c r="E97" s="44"/>
      <c r="F97" s="54">
        <v>1493</v>
      </c>
      <c r="G97" s="55"/>
      <c r="H97" s="56"/>
      <c r="I97" s="48">
        <v>186435.28</v>
      </c>
      <c r="J97" s="49"/>
      <c r="K97" s="50"/>
      <c r="L97" s="51">
        <v>124.87</v>
      </c>
      <c r="M97" s="52"/>
      <c r="N97" s="53"/>
      <c r="O97" s="11"/>
      <c r="P97" s="11"/>
      <c r="Q97" s="11"/>
    </row>
    <row r="98" spans="1:17" ht="16" customHeight="1" x14ac:dyDescent="0.3">
      <c r="A98" t="str">
        <f t="shared" si="4"/>
        <v>1,600 SQ FT</v>
      </c>
      <c r="B98" s="2">
        <v>2034</v>
      </c>
      <c r="C98" s="42" t="s">
        <v>54</v>
      </c>
      <c r="D98" s="43"/>
      <c r="E98" s="44"/>
      <c r="F98" s="54">
        <v>1600</v>
      </c>
      <c r="G98" s="55"/>
      <c r="H98" s="56"/>
      <c r="I98" s="48">
        <v>192646.36</v>
      </c>
      <c r="J98" s="49"/>
      <c r="K98" s="50"/>
      <c r="L98" s="51">
        <v>120.4</v>
      </c>
      <c r="M98" s="52"/>
      <c r="N98" s="53"/>
      <c r="O98" s="11"/>
      <c r="P98" s="11"/>
      <c r="Q98" s="11"/>
    </row>
    <row r="99" spans="1:17" ht="15" customHeight="1" x14ac:dyDescent="0.3">
      <c r="A99" t="str">
        <f t="shared" si="4"/>
        <v>1,920 SQ FT</v>
      </c>
      <c r="B99" s="2">
        <v>2035</v>
      </c>
      <c r="C99" s="42" t="s">
        <v>54</v>
      </c>
      <c r="D99" s="43"/>
      <c r="E99" s="44"/>
      <c r="F99" s="54">
        <v>1920</v>
      </c>
      <c r="G99" s="55"/>
      <c r="H99" s="56"/>
      <c r="I99" s="48">
        <v>208076.32</v>
      </c>
      <c r="J99" s="49"/>
      <c r="K99" s="50"/>
      <c r="L99" s="51">
        <v>108.37</v>
      </c>
      <c r="M99" s="52"/>
      <c r="N99" s="53"/>
      <c r="O99" s="11"/>
      <c r="P99" s="11"/>
      <c r="Q99" s="11"/>
    </row>
    <row r="100" spans="1:17" ht="16" customHeight="1" x14ac:dyDescent="0.3">
      <c r="A100" t="str">
        <f t="shared" si="4"/>
        <v>1,056 SQ FT</v>
      </c>
      <c r="B100" s="2">
        <v>2036</v>
      </c>
      <c r="C100" s="42" t="s">
        <v>58</v>
      </c>
      <c r="D100" s="43"/>
      <c r="E100" s="44"/>
      <c r="F100" s="54">
        <v>1056</v>
      </c>
      <c r="G100" s="55"/>
      <c r="H100" s="56"/>
      <c r="I100" s="48">
        <v>169748.2</v>
      </c>
      <c r="J100" s="49"/>
      <c r="K100" s="50"/>
      <c r="L100" s="51">
        <v>160.75</v>
      </c>
      <c r="M100" s="52"/>
      <c r="N100" s="53"/>
      <c r="O100" s="11"/>
      <c r="P100" s="11"/>
      <c r="Q100" s="11"/>
    </row>
    <row r="101" spans="1:17" ht="16" customHeight="1" x14ac:dyDescent="0.3">
      <c r="A101" t="str">
        <f t="shared" si="4"/>
        <v>1,344 SQ FT</v>
      </c>
      <c r="B101" s="2">
        <v>2037</v>
      </c>
      <c r="C101" s="42" t="s">
        <v>59</v>
      </c>
      <c r="D101" s="43"/>
      <c r="E101" s="44"/>
      <c r="F101" s="54">
        <v>1344</v>
      </c>
      <c r="G101" s="55"/>
      <c r="H101" s="56"/>
      <c r="I101" s="48">
        <v>184810.96</v>
      </c>
      <c r="J101" s="49"/>
      <c r="K101" s="50"/>
      <c r="L101" s="51">
        <v>137.51</v>
      </c>
      <c r="M101" s="52"/>
      <c r="N101" s="53"/>
      <c r="O101" s="11"/>
      <c r="P101" s="11"/>
      <c r="Q101" s="11"/>
    </row>
    <row r="102" spans="1:17" ht="16" customHeight="1" x14ac:dyDescent="0.3">
      <c r="A102" t="str">
        <f t="shared" si="4"/>
        <v>839 SQ FT</v>
      </c>
      <c r="B102" s="2">
        <v>2038</v>
      </c>
      <c r="C102" s="42" t="s">
        <v>60</v>
      </c>
      <c r="D102" s="43"/>
      <c r="E102" s="44"/>
      <c r="F102" s="45">
        <v>839</v>
      </c>
      <c r="G102" s="46"/>
      <c r="H102" s="47"/>
      <c r="I102" s="48">
        <v>162159.04000000001</v>
      </c>
      <c r="J102" s="49"/>
      <c r="K102" s="50"/>
      <c r="L102" s="51">
        <v>193.28</v>
      </c>
      <c r="M102" s="52"/>
      <c r="N102" s="53"/>
      <c r="O102" s="11"/>
      <c r="P102" s="11"/>
      <c r="Q102" s="11"/>
    </row>
    <row r="103" spans="1:17" ht="15" customHeight="1" x14ac:dyDescent="0.3">
      <c r="A103" t="str">
        <f t="shared" si="4"/>
        <v>0 SQ FT</v>
      </c>
      <c r="B103" s="39" t="s">
        <v>61</v>
      </c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1"/>
      <c r="O103" s="11"/>
      <c r="P103" s="11"/>
      <c r="Q103" s="11"/>
    </row>
    <row r="104" spans="1:17" ht="16" customHeight="1" x14ac:dyDescent="0.3">
      <c r="A104" t="str">
        <f t="shared" si="4"/>
        <v>1,440 SQ FT</v>
      </c>
      <c r="B104" s="2">
        <v>2017</v>
      </c>
      <c r="C104" s="42" t="s">
        <v>62</v>
      </c>
      <c r="D104" s="43"/>
      <c r="E104" s="44"/>
      <c r="F104" s="54">
        <v>1440</v>
      </c>
      <c r="G104" s="55"/>
      <c r="H104" s="56"/>
      <c r="I104" s="48">
        <v>192446.16</v>
      </c>
      <c r="J104" s="49"/>
      <c r="K104" s="50"/>
      <c r="L104" s="51">
        <v>133.63999999999999</v>
      </c>
      <c r="M104" s="52"/>
      <c r="N104" s="53"/>
      <c r="O104" s="11"/>
      <c r="P104" s="11"/>
      <c r="Q104" s="11"/>
    </row>
    <row r="105" spans="1:17" ht="16" customHeight="1" x14ac:dyDescent="0.3">
      <c r="A105" t="str">
        <f t="shared" si="4"/>
        <v>1,440 SQ FT</v>
      </c>
      <c r="B105" s="2">
        <v>2019</v>
      </c>
      <c r="C105" s="42" t="s">
        <v>63</v>
      </c>
      <c r="D105" s="43"/>
      <c r="E105" s="44"/>
      <c r="F105" s="54">
        <v>1440</v>
      </c>
      <c r="G105" s="55"/>
      <c r="H105" s="56"/>
      <c r="I105" s="48">
        <v>193099.56</v>
      </c>
      <c r="J105" s="49"/>
      <c r="K105" s="50"/>
      <c r="L105" s="51">
        <v>134.1</v>
      </c>
      <c r="M105" s="52"/>
      <c r="N105" s="53"/>
      <c r="O105" s="11"/>
      <c r="P105" s="11"/>
      <c r="Q105" s="11"/>
    </row>
    <row r="106" spans="1:17" ht="16" customHeight="1" x14ac:dyDescent="0.3">
      <c r="A106" t="str">
        <f t="shared" si="4"/>
        <v>1,680 SQ FT</v>
      </c>
      <c r="B106" s="2">
        <v>2021</v>
      </c>
      <c r="C106" s="42" t="s">
        <v>64</v>
      </c>
      <c r="D106" s="43"/>
      <c r="E106" s="44"/>
      <c r="F106" s="54">
        <v>1680</v>
      </c>
      <c r="G106" s="55"/>
      <c r="H106" s="56"/>
      <c r="I106" s="48">
        <v>204004.32</v>
      </c>
      <c r="J106" s="49"/>
      <c r="K106" s="50"/>
      <c r="L106" s="51">
        <v>121.43</v>
      </c>
      <c r="M106" s="52"/>
      <c r="N106" s="53"/>
      <c r="O106" s="11"/>
      <c r="P106" s="11"/>
      <c r="Q106" s="11"/>
    </row>
    <row r="107" spans="1:17" ht="15" customHeight="1" x14ac:dyDescent="0.3">
      <c r="A107" t="str">
        <f t="shared" si="4"/>
        <v>1,680 SQ FT</v>
      </c>
      <c r="B107" s="2">
        <v>2022</v>
      </c>
      <c r="C107" s="42" t="s">
        <v>64</v>
      </c>
      <c r="D107" s="43"/>
      <c r="E107" s="44"/>
      <c r="F107" s="54">
        <v>1680</v>
      </c>
      <c r="G107" s="55"/>
      <c r="H107" s="56"/>
      <c r="I107" s="48">
        <v>203423.28</v>
      </c>
      <c r="J107" s="49"/>
      <c r="K107" s="50"/>
      <c r="L107" s="51">
        <v>121.09</v>
      </c>
      <c r="M107" s="52"/>
      <c r="N107" s="53"/>
      <c r="O107" s="11"/>
      <c r="P107" s="11"/>
      <c r="Q107" s="11"/>
    </row>
    <row r="108" spans="1:17" ht="16" customHeight="1" x14ac:dyDescent="0.3">
      <c r="A108" t="str">
        <f t="shared" si="4"/>
        <v>1,680 SQ FT</v>
      </c>
      <c r="B108" s="2">
        <v>2023</v>
      </c>
      <c r="C108" s="42" t="s">
        <v>64</v>
      </c>
      <c r="D108" s="43"/>
      <c r="E108" s="44"/>
      <c r="F108" s="54">
        <v>1680</v>
      </c>
      <c r="G108" s="55"/>
      <c r="H108" s="56"/>
      <c r="I108" s="48">
        <v>204621</v>
      </c>
      <c r="J108" s="49"/>
      <c r="K108" s="50"/>
      <c r="L108" s="51">
        <v>121.8</v>
      </c>
      <c r="M108" s="52"/>
      <c r="N108" s="53"/>
      <c r="O108" s="11"/>
      <c r="P108" s="11"/>
      <c r="Q108" s="11"/>
    </row>
    <row r="109" spans="1:17" ht="16" customHeight="1" x14ac:dyDescent="0.3">
      <c r="A109" t="str">
        <f t="shared" si="4"/>
        <v>1,800 SQ FT</v>
      </c>
      <c r="B109" s="2">
        <v>2024</v>
      </c>
      <c r="C109" s="42" t="s">
        <v>65</v>
      </c>
      <c r="D109" s="43"/>
      <c r="E109" s="44"/>
      <c r="F109" s="54">
        <v>1800</v>
      </c>
      <c r="G109" s="55"/>
      <c r="H109" s="56"/>
      <c r="I109" s="48">
        <v>212274.96</v>
      </c>
      <c r="J109" s="49"/>
      <c r="K109" s="50"/>
      <c r="L109" s="51">
        <v>117.93</v>
      </c>
      <c r="M109" s="52"/>
      <c r="N109" s="53"/>
      <c r="O109" s="11"/>
      <c r="P109" s="11"/>
      <c r="Q109" s="11"/>
    </row>
    <row r="110" spans="1:17" ht="16" customHeight="1" x14ac:dyDescent="0.3">
      <c r="A110" t="str">
        <f t="shared" si="4"/>
        <v>2,040 SQ FT</v>
      </c>
      <c r="B110" s="2">
        <v>2025</v>
      </c>
      <c r="C110" s="42" t="s">
        <v>66</v>
      </c>
      <c r="D110" s="43"/>
      <c r="E110" s="44"/>
      <c r="F110" s="54">
        <v>2040</v>
      </c>
      <c r="G110" s="55"/>
      <c r="H110" s="56"/>
      <c r="I110" s="48">
        <v>227579.64</v>
      </c>
      <c r="J110" s="49"/>
      <c r="K110" s="50"/>
      <c r="L110" s="51">
        <v>111.56</v>
      </c>
      <c r="M110" s="52"/>
      <c r="N110" s="53"/>
      <c r="O110" s="11"/>
      <c r="P110" s="11"/>
      <c r="Q110" s="11"/>
    </row>
    <row r="111" spans="1:17" ht="15" customHeight="1" x14ac:dyDescent="0.3">
      <c r="A111" t="str">
        <f t="shared" si="4"/>
        <v>960 SQ FT</v>
      </c>
      <c r="B111" s="2">
        <v>2029</v>
      </c>
      <c r="C111" s="42" t="s">
        <v>67</v>
      </c>
      <c r="D111" s="43"/>
      <c r="E111" s="44"/>
      <c r="F111" s="45">
        <v>960</v>
      </c>
      <c r="G111" s="46"/>
      <c r="H111" s="47"/>
      <c r="I111" s="48">
        <v>172179.28</v>
      </c>
      <c r="J111" s="49"/>
      <c r="K111" s="50"/>
      <c r="L111" s="51">
        <v>179.35</v>
      </c>
      <c r="M111" s="52"/>
      <c r="N111" s="53"/>
      <c r="O111" s="11"/>
      <c r="P111" s="11"/>
      <c r="Q111" s="11"/>
    </row>
    <row r="112" spans="1:17" ht="16" customHeight="1" x14ac:dyDescent="0.3">
      <c r="A112" t="str">
        <f t="shared" si="4"/>
        <v>1,440 SQ FT</v>
      </c>
      <c r="B112" s="2">
        <v>2031</v>
      </c>
      <c r="C112" s="42" t="s">
        <v>63</v>
      </c>
      <c r="D112" s="43"/>
      <c r="E112" s="44"/>
      <c r="F112" s="54">
        <v>1440</v>
      </c>
      <c r="G112" s="55"/>
      <c r="H112" s="56"/>
      <c r="I112" s="48">
        <v>194016.48</v>
      </c>
      <c r="J112" s="49"/>
      <c r="K112" s="50"/>
      <c r="L112" s="51">
        <v>134.72999999999999</v>
      </c>
      <c r="M112" s="52"/>
      <c r="N112" s="53"/>
      <c r="O112" s="11"/>
      <c r="P112" s="11"/>
      <c r="Q112" s="11"/>
    </row>
    <row r="113" spans="1:17" ht="16" customHeight="1" x14ac:dyDescent="0.3">
      <c r="A113" t="str">
        <f t="shared" si="4"/>
        <v>1,800 SQ FT</v>
      </c>
      <c r="B113" s="2">
        <v>2034</v>
      </c>
      <c r="C113" s="42" t="s">
        <v>65</v>
      </c>
      <c r="D113" s="43"/>
      <c r="E113" s="44"/>
      <c r="F113" s="54">
        <v>1800</v>
      </c>
      <c r="G113" s="55"/>
      <c r="H113" s="56"/>
      <c r="I113" s="48">
        <v>212780.4</v>
      </c>
      <c r="J113" s="49"/>
      <c r="K113" s="50"/>
      <c r="L113" s="51">
        <v>118.21</v>
      </c>
      <c r="M113" s="52"/>
      <c r="N113" s="53"/>
      <c r="O113" s="11"/>
      <c r="P113" s="11"/>
      <c r="Q113" s="11"/>
    </row>
    <row r="114" spans="1:17" ht="16" customHeight="1" x14ac:dyDescent="0.3">
      <c r="A114" t="str">
        <f t="shared" si="4"/>
        <v>2,160 SQ FT</v>
      </c>
      <c r="B114" s="2">
        <v>2035</v>
      </c>
      <c r="C114" s="42" t="s">
        <v>68</v>
      </c>
      <c r="D114" s="43"/>
      <c r="E114" s="44"/>
      <c r="F114" s="54">
        <v>2160</v>
      </c>
      <c r="G114" s="55"/>
      <c r="H114" s="56"/>
      <c r="I114" s="48">
        <v>230144.64000000001</v>
      </c>
      <c r="J114" s="49"/>
      <c r="K114" s="50"/>
      <c r="L114" s="51">
        <v>106.55</v>
      </c>
      <c r="M114" s="52"/>
      <c r="N114" s="53"/>
      <c r="O114" s="11"/>
      <c r="P114" s="11"/>
      <c r="Q114" s="11"/>
    </row>
    <row r="115" spans="1:17" ht="15" customHeight="1" x14ac:dyDescent="0.3">
      <c r="A115" t="str">
        <f t="shared" si="4"/>
        <v>1,413 SQ FT</v>
      </c>
      <c r="B115" s="2">
        <v>2037</v>
      </c>
      <c r="C115" s="42" t="s">
        <v>69</v>
      </c>
      <c r="D115" s="43"/>
      <c r="E115" s="44"/>
      <c r="F115" s="54">
        <v>1413</v>
      </c>
      <c r="G115" s="55"/>
      <c r="H115" s="56"/>
      <c r="I115" s="48">
        <v>190628.92</v>
      </c>
      <c r="J115" s="49"/>
      <c r="K115" s="50"/>
      <c r="L115" s="51">
        <v>134.91</v>
      </c>
      <c r="M115" s="52"/>
      <c r="N115" s="53"/>
    </row>
    <row r="116" spans="1:17" ht="16" customHeight="1" x14ac:dyDescent="0.3">
      <c r="A116" t="str">
        <f t="shared" si="4"/>
        <v>1,024 SQ FT</v>
      </c>
      <c r="B116" s="2">
        <v>2038</v>
      </c>
      <c r="C116" s="42" t="s">
        <v>70</v>
      </c>
      <c r="D116" s="43"/>
      <c r="E116" s="44"/>
      <c r="F116" s="54">
        <v>1024</v>
      </c>
      <c r="G116" s="55"/>
      <c r="H116" s="56"/>
      <c r="I116" s="48">
        <v>182153.08</v>
      </c>
      <c r="J116" s="49"/>
      <c r="K116" s="50"/>
      <c r="L116" s="51">
        <v>177.88</v>
      </c>
      <c r="M116" s="52"/>
      <c r="N116" s="53"/>
    </row>
    <row r="117" spans="1:17" ht="16" customHeight="1" x14ac:dyDescent="0.3">
      <c r="B117" s="57" t="s">
        <v>71</v>
      </c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9"/>
    </row>
    <row r="118" spans="1:17" ht="16" customHeight="1" x14ac:dyDescent="0.3">
      <c r="A118" t="str">
        <f>"Imagine / " &amp; B118</f>
        <v>Imagine / 5015</v>
      </c>
      <c r="B118" s="2">
        <v>5015</v>
      </c>
      <c r="C118" s="42" t="s">
        <v>51</v>
      </c>
      <c r="D118" s="43"/>
      <c r="E118" s="44"/>
      <c r="F118" s="54">
        <v>1173</v>
      </c>
      <c r="G118" s="55"/>
      <c r="H118" s="56"/>
      <c r="I118" s="48">
        <v>154904.68</v>
      </c>
      <c r="J118" s="49"/>
      <c r="K118" s="50"/>
      <c r="L118" s="51">
        <v>132.06</v>
      </c>
      <c r="M118" s="52"/>
      <c r="N118" s="53"/>
    </row>
    <row r="119" spans="1:17" ht="15" customHeight="1" x14ac:dyDescent="0.3">
      <c r="A119" t="str">
        <f t="shared" ref="A119:A136" si="5">"Imagine / " &amp; B119</f>
        <v>Imagine / 5017</v>
      </c>
      <c r="B119" s="2">
        <v>5017</v>
      </c>
      <c r="C119" s="42" t="s">
        <v>52</v>
      </c>
      <c r="D119" s="43"/>
      <c r="E119" s="44"/>
      <c r="F119" s="54">
        <v>1280</v>
      </c>
      <c r="G119" s="55"/>
      <c r="H119" s="56"/>
      <c r="I119" s="48">
        <v>155905.84</v>
      </c>
      <c r="J119" s="49"/>
      <c r="K119" s="50"/>
      <c r="L119" s="51">
        <v>121.8</v>
      </c>
      <c r="M119" s="52"/>
      <c r="N119" s="53"/>
    </row>
    <row r="120" spans="1:17" ht="16" customHeight="1" x14ac:dyDescent="0.3">
      <c r="A120" t="str">
        <f t="shared" si="5"/>
        <v>Imagine / 5019</v>
      </c>
      <c r="B120" s="2">
        <v>5019</v>
      </c>
      <c r="C120" s="42" t="s">
        <v>52</v>
      </c>
      <c r="D120" s="43"/>
      <c r="E120" s="44"/>
      <c r="F120" s="54">
        <v>1280</v>
      </c>
      <c r="G120" s="55"/>
      <c r="H120" s="56"/>
      <c r="I120" s="48">
        <v>156482.56</v>
      </c>
      <c r="J120" s="49"/>
      <c r="K120" s="50"/>
      <c r="L120" s="51">
        <v>122.25</v>
      </c>
      <c r="M120" s="52"/>
      <c r="N120" s="53"/>
    </row>
    <row r="121" spans="1:17" ht="16" customHeight="1" x14ac:dyDescent="0.3">
      <c r="A121" t="str">
        <f t="shared" si="5"/>
        <v>Imagine / 5021</v>
      </c>
      <c r="B121" s="2">
        <v>5021</v>
      </c>
      <c r="C121" s="42" t="s">
        <v>53</v>
      </c>
      <c r="D121" s="43"/>
      <c r="E121" s="44"/>
      <c r="F121" s="54">
        <v>1493</v>
      </c>
      <c r="G121" s="55"/>
      <c r="H121" s="56"/>
      <c r="I121" s="48">
        <v>165763</v>
      </c>
      <c r="J121" s="49"/>
      <c r="K121" s="50"/>
      <c r="L121" s="51">
        <v>111.03</v>
      </c>
      <c r="M121" s="52"/>
      <c r="N121" s="53"/>
    </row>
    <row r="122" spans="1:17" ht="16" customHeight="1" x14ac:dyDescent="0.3">
      <c r="A122" t="str">
        <f t="shared" si="5"/>
        <v>Imagine / 5022</v>
      </c>
      <c r="B122" s="2">
        <v>5022</v>
      </c>
      <c r="C122" s="42" t="s">
        <v>53</v>
      </c>
      <c r="D122" s="43"/>
      <c r="E122" s="44"/>
      <c r="F122" s="54">
        <v>1493</v>
      </c>
      <c r="G122" s="55"/>
      <c r="H122" s="56"/>
      <c r="I122" s="48">
        <v>165242.44</v>
      </c>
      <c r="J122" s="49"/>
      <c r="K122" s="50"/>
      <c r="L122" s="51">
        <v>110.68</v>
      </c>
      <c r="M122" s="52"/>
      <c r="N122" s="53"/>
    </row>
    <row r="123" spans="1:17" ht="15" customHeight="1" x14ac:dyDescent="0.3">
      <c r="A123" t="str">
        <f t="shared" si="5"/>
        <v>Imagine / 5023</v>
      </c>
      <c r="B123" s="2">
        <v>5023</v>
      </c>
      <c r="C123" s="42" t="s">
        <v>53</v>
      </c>
      <c r="D123" s="43"/>
      <c r="E123" s="44"/>
      <c r="F123" s="54">
        <v>1493</v>
      </c>
      <c r="G123" s="55"/>
      <c r="H123" s="56"/>
      <c r="I123" s="48">
        <v>166303</v>
      </c>
      <c r="J123" s="49"/>
      <c r="K123" s="50"/>
      <c r="L123" s="51">
        <v>111.39</v>
      </c>
      <c r="M123" s="52"/>
      <c r="N123" s="53"/>
    </row>
    <row r="124" spans="1:17" ht="16" customHeight="1" x14ac:dyDescent="0.3">
      <c r="A124" t="str">
        <f t="shared" si="5"/>
        <v>Imagine / 5024</v>
      </c>
      <c r="B124" s="2">
        <v>5024</v>
      </c>
      <c r="C124" s="42" t="s">
        <v>54</v>
      </c>
      <c r="D124" s="43"/>
      <c r="E124" s="44"/>
      <c r="F124" s="54">
        <v>1600</v>
      </c>
      <c r="G124" s="55"/>
      <c r="H124" s="56"/>
      <c r="I124" s="48">
        <v>170180.2</v>
      </c>
      <c r="J124" s="49"/>
      <c r="K124" s="50"/>
      <c r="L124" s="51">
        <v>106.36</v>
      </c>
      <c r="M124" s="52"/>
      <c r="N124" s="53"/>
    </row>
    <row r="125" spans="1:17" ht="16" customHeight="1" x14ac:dyDescent="0.3">
      <c r="A125" t="str">
        <f t="shared" si="5"/>
        <v>Imagine / 5025</v>
      </c>
      <c r="B125" s="2">
        <v>5025</v>
      </c>
      <c r="C125" s="42" t="s">
        <v>55</v>
      </c>
      <c r="D125" s="43"/>
      <c r="E125" s="44"/>
      <c r="F125" s="54">
        <v>1814</v>
      </c>
      <c r="G125" s="55"/>
      <c r="H125" s="56"/>
      <c r="I125" s="48">
        <v>180359.2</v>
      </c>
      <c r="J125" s="49"/>
      <c r="K125" s="50"/>
      <c r="L125" s="51">
        <v>99.43</v>
      </c>
      <c r="M125" s="52"/>
      <c r="N125" s="53"/>
    </row>
    <row r="126" spans="1:17" ht="16" customHeight="1" x14ac:dyDescent="0.3">
      <c r="A126" t="str">
        <f t="shared" si="5"/>
        <v>Imagine / 5028</v>
      </c>
      <c r="B126" s="2">
        <v>5028</v>
      </c>
      <c r="C126" s="42" t="s">
        <v>56</v>
      </c>
      <c r="D126" s="43"/>
      <c r="E126" s="44"/>
      <c r="F126" s="54">
        <v>2100</v>
      </c>
      <c r="G126" s="55"/>
      <c r="H126" s="56"/>
      <c r="I126" s="48">
        <v>201051.6</v>
      </c>
      <c r="J126" s="49"/>
      <c r="K126" s="50"/>
      <c r="L126" s="51">
        <v>95.74</v>
      </c>
      <c r="M126" s="52"/>
      <c r="N126" s="53"/>
    </row>
    <row r="127" spans="1:17" ht="15" customHeight="1" x14ac:dyDescent="0.3">
      <c r="A127" t="str">
        <f t="shared" si="5"/>
        <v>Imagine / 5029</v>
      </c>
      <c r="B127" s="2">
        <v>5029</v>
      </c>
      <c r="C127" s="42" t="s">
        <v>57</v>
      </c>
      <c r="D127" s="43"/>
      <c r="E127" s="44"/>
      <c r="F127" s="45">
        <v>864</v>
      </c>
      <c r="G127" s="46"/>
      <c r="H127" s="47"/>
      <c r="I127" s="48">
        <v>135037</v>
      </c>
      <c r="J127" s="49"/>
      <c r="K127" s="50"/>
      <c r="L127" s="51">
        <v>156.29</v>
      </c>
      <c r="M127" s="52"/>
      <c r="N127" s="53"/>
    </row>
    <row r="128" spans="1:17" ht="16" customHeight="1" x14ac:dyDescent="0.3">
      <c r="A128" t="str">
        <f t="shared" si="5"/>
        <v>Imagine / 5030</v>
      </c>
      <c r="B128" s="2">
        <v>5030</v>
      </c>
      <c r="C128" s="42" t="s">
        <v>52</v>
      </c>
      <c r="D128" s="43"/>
      <c r="E128" s="44"/>
      <c r="F128" s="54">
        <v>1280</v>
      </c>
      <c r="G128" s="55"/>
      <c r="H128" s="56"/>
      <c r="I128" s="48">
        <v>155802.16</v>
      </c>
      <c r="J128" s="49"/>
      <c r="K128" s="50"/>
      <c r="L128" s="51">
        <v>121.72</v>
      </c>
      <c r="M128" s="52"/>
      <c r="N128" s="53"/>
    </row>
    <row r="129" spans="1:14" ht="16" customHeight="1" x14ac:dyDescent="0.3">
      <c r="A129" t="str">
        <f t="shared" si="5"/>
        <v>Imagine / 5031</v>
      </c>
      <c r="B129" s="2">
        <v>5031</v>
      </c>
      <c r="C129" s="42" t="s">
        <v>52</v>
      </c>
      <c r="D129" s="43"/>
      <c r="E129" s="44"/>
      <c r="F129" s="54">
        <v>1280</v>
      </c>
      <c r="G129" s="55"/>
      <c r="H129" s="56"/>
      <c r="I129" s="48">
        <v>156060.28</v>
      </c>
      <c r="J129" s="49"/>
      <c r="K129" s="50"/>
      <c r="L129" s="51">
        <v>121.92</v>
      </c>
      <c r="M129" s="52"/>
      <c r="N129" s="53"/>
    </row>
    <row r="130" spans="1:14" ht="16" customHeight="1" x14ac:dyDescent="0.3">
      <c r="A130" t="str">
        <f t="shared" si="5"/>
        <v>Imagine / 5032</v>
      </c>
      <c r="B130" s="2">
        <v>5032</v>
      </c>
      <c r="C130" s="42" t="s">
        <v>53</v>
      </c>
      <c r="D130" s="43"/>
      <c r="E130" s="44"/>
      <c r="F130" s="54">
        <v>1493</v>
      </c>
      <c r="G130" s="55"/>
      <c r="H130" s="56"/>
      <c r="I130" s="48">
        <v>165238.12</v>
      </c>
      <c r="J130" s="49"/>
      <c r="K130" s="50"/>
      <c r="L130" s="51">
        <v>110.68</v>
      </c>
      <c r="M130" s="52"/>
      <c r="N130" s="53"/>
    </row>
    <row r="131" spans="1:14" ht="15" customHeight="1" x14ac:dyDescent="0.3">
      <c r="A131" t="str">
        <f t="shared" si="5"/>
        <v>Imagine / 5033</v>
      </c>
      <c r="B131" s="2">
        <v>5033</v>
      </c>
      <c r="C131" s="42" t="s">
        <v>53</v>
      </c>
      <c r="D131" s="43"/>
      <c r="E131" s="44"/>
      <c r="F131" s="54">
        <v>1493</v>
      </c>
      <c r="G131" s="55"/>
      <c r="H131" s="56"/>
      <c r="I131" s="48">
        <v>166495.24</v>
      </c>
      <c r="J131" s="49"/>
      <c r="K131" s="50"/>
      <c r="L131" s="51">
        <v>111.52</v>
      </c>
      <c r="M131" s="52"/>
      <c r="N131" s="53"/>
    </row>
    <row r="132" spans="1:14" ht="16" customHeight="1" x14ac:dyDescent="0.3">
      <c r="A132" t="str">
        <f t="shared" si="5"/>
        <v>Imagine / 5034</v>
      </c>
      <c r="B132" s="2">
        <v>5034</v>
      </c>
      <c r="C132" s="42" t="s">
        <v>54</v>
      </c>
      <c r="D132" s="43"/>
      <c r="E132" s="44"/>
      <c r="F132" s="54">
        <v>1600</v>
      </c>
      <c r="G132" s="55"/>
      <c r="H132" s="56"/>
      <c r="I132" s="48">
        <v>170226.64</v>
      </c>
      <c r="J132" s="49"/>
      <c r="K132" s="50"/>
      <c r="L132" s="51">
        <v>106.39</v>
      </c>
      <c r="M132" s="52"/>
      <c r="N132" s="53"/>
    </row>
    <row r="133" spans="1:14" ht="16" customHeight="1" x14ac:dyDescent="0.3">
      <c r="A133" t="str">
        <f t="shared" si="5"/>
        <v>Imagine / 5035</v>
      </c>
      <c r="B133" s="2">
        <v>5035</v>
      </c>
      <c r="C133" s="42" t="s">
        <v>72</v>
      </c>
      <c r="D133" s="43"/>
      <c r="E133" s="44"/>
      <c r="F133" s="54">
        <v>1920</v>
      </c>
      <c r="G133" s="55"/>
      <c r="H133" s="56"/>
      <c r="I133" s="48">
        <v>185557.24</v>
      </c>
      <c r="J133" s="49"/>
      <c r="K133" s="50"/>
      <c r="L133" s="51">
        <v>96.64</v>
      </c>
      <c r="M133" s="52"/>
      <c r="N133" s="53"/>
    </row>
    <row r="134" spans="1:14" ht="16" customHeight="1" x14ac:dyDescent="0.3">
      <c r="A134" t="str">
        <f t="shared" si="5"/>
        <v>Imagine / 5036</v>
      </c>
      <c r="B134" s="2">
        <v>5036</v>
      </c>
      <c r="C134" s="42" t="s">
        <v>58</v>
      </c>
      <c r="D134" s="43"/>
      <c r="E134" s="44"/>
      <c r="F134" s="54">
        <v>1056</v>
      </c>
      <c r="G134" s="55"/>
      <c r="H134" s="56"/>
      <c r="I134" s="48">
        <v>148047.76</v>
      </c>
      <c r="J134" s="49"/>
      <c r="K134" s="50"/>
      <c r="L134" s="51">
        <v>140.19999999999999</v>
      </c>
      <c r="M134" s="52"/>
      <c r="N134" s="53"/>
    </row>
    <row r="135" spans="1:14" ht="15" customHeight="1" x14ac:dyDescent="0.3">
      <c r="A135" t="str">
        <f t="shared" si="5"/>
        <v>Imagine / 5037</v>
      </c>
      <c r="B135" s="2">
        <v>5037</v>
      </c>
      <c r="C135" s="42" t="s">
        <v>59</v>
      </c>
      <c r="D135" s="43"/>
      <c r="E135" s="44"/>
      <c r="F135" s="54">
        <v>1344</v>
      </c>
      <c r="G135" s="55"/>
      <c r="H135" s="56"/>
      <c r="I135" s="48">
        <v>159754.96</v>
      </c>
      <c r="J135" s="49"/>
      <c r="K135" s="50"/>
      <c r="L135" s="51">
        <v>118.87</v>
      </c>
      <c r="M135" s="52"/>
      <c r="N135" s="53"/>
    </row>
    <row r="136" spans="1:14" ht="16" customHeight="1" x14ac:dyDescent="0.3">
      <c r="A136" t="str">
        <f t="shared" si="5"/>
        <v>Imagine / 5038</v>
      </c>
      <c r="B136" s="2">
        <v>5038</v>
      </c>
      <c r="C136" s="42" t="s">
        <v>73</v>
      </c>
      <c r="D136" s="43"/>
      <c r="E136" s="44"/>
      <c r="F136" s="45">
        <v>839</v>
      </c>
      <c r="G136" s="46"/>
      <c r="H136" s="47"/>
      <c r="I136" s="48">
        <v>134246.44</v>
      </c>
      <c r="J136" s="49"/>
      <c r="K136" s="50"/>
      <c r="L136" s="51">
        <v>160.01</v>
      </c>
      <c r="M136" s="52"/>
      <c r="N136" s="53"/>
    </row>
    <row r="137" spans="1:14" ht="16" customHeight="1" x14ac:dyDescent="0.3">
      <c r="A137" t="str">
        <f t="shared" si="4"/>
        <v>0 SQ FT</v>
      </c>
      <c r="B137" s="60" t="s">
        <v>74</v>
      </c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2"/>
    </row>
    <row r="138" spans="1:14" ht="16" customHeight="1" x14ac:dyDescent="0.3">
      <c r="A138" t="str">
        <f>"Majestic / " &amp; B138</f>
        <v>Majestic / 9584-S</v>
      </c>
      <c r="B138" s="3" t="s">
        <v>75</v>
      </c>
      <c r="C138" s="42" t="s">
        <v>76</v>
      </c>
      <c r="D138" s="43"/>
      <c r="E138" s="44"/>
      <c r="F138" s="54">
        <v>2293</v>
      </c>
      <c r="G138" s="55"/>
      <c r="H138" s="56"/>
      <c r="I138" s="48">
        <v>281368.92</v>
      </c>
      <c r="J138" s="49"/>
      <c r="K138" s="50"/>
      <c r="L138" s="51">
        <v>122.71</v>
      </c>
      <c r="M138" s="52"/>
      <c r="N138" s="53"/>
    </row>
    <row r="139" spans="1:14" ht="15" customHeight="1" x14ac:dyDescent="0.3">
      <c r="A139" t="str">
        <f t="shared" ref="A139:A152" si="6">"Majestic / " &amp; B139</f>
        <v>Majestic / 9585-S</v>
      </c>
      <c r="B139" s="3" t="s">
        <v>77</v>
      </c>
      <c r="C139" s="42" t="s">
        <v>78</v>
      </c>
      <c r="D139" s="43"/>
      <c r="E139" s="44"/>
      <c r="F139" s="54">
        <v>2800</v>
      </c>
      <c r="G139" s="55"/>
      <c r="H139" s="56"/>
      <c r="I139" s="48">
        <v>322075.2</v>
      </c>
      <c r="J139" s="49"/>
      <c r="K139" s="50"/>
      <c r="L139" s="51">
        <v>115.03</v>
      </c>
      <c r="M139" s="52"/>
      <c r="N139" s="53"/>
    </row>
    <row r="140" spans="1:14" ht="16" customHeight="1" x14ac:dyDescent="0.3">
      <c r="A140" t="str">
        <f t="shared" si="6"/>
        <v>Majestic / 9588-S</v>
      </c>
      <c r="B140" s="3" t="s">
        <v>79</v>
      </c>
      <c r="C140" s="42" t="s">
        <v>80</v>
      </c>
      <c r="D140" s="43"/>
      <c r="E140" s="44"/>
      <c r="F140" s="54">
        <v>2240</v>
      </c>
      <c r="G140" s="55"/>
      <c r="H140" s="56"/>
      <c r="I140" s="48">
        <v>278229.36</v>
      </c>
      <c r="J140" s="49"/>
      <c r="K140" s="50"/>
      <c r="L140" s="51">
        <v>124.21</v>
      </c>
      <c r="M140" s="52"/>
      <c r="N140" s="53"/>
    </row>
    <row r="141" spans="1:14" ht="16" customHeight="1" x14ac:dyDescent="0.3">
      <c r="A141" t="str">
        <f t="shared" si="6"/>
        <v>Majestic / 9590-S</v>
      </c>
      <c r="B141" s="3" t="s">
        <v>81</v>
      </c>
      <c r="C141" s="42" t="s">
        <v>82</v>
      </c>
      <c r="D141" s="43"/>
      <c r="E141" s="44"/>
      <c r="F141" s="54">
        <v>1387</v>
      </c>
      <c r="G141" s="55"/>
      <c r="H141" s="56"/>
      <c r="I141" s="48">
        <v>197317.36</v>
      </c>
      <c r="J141" s="49"/>
      <c r="K141" s="50"/>
      <c r="L141" s="51">
        <v>142.26</v>
      </c>
      <c r="M141" s="52"/>
      <c r="N141" s="53"/>
    </row>
    <row r="142" spans="1:14" ht="16" customHeight="1" x14ac:dyDescent="0.3">
      <c r="A142" t="str">
        <f t="shared" si="6"/>
        <v>Majestic / 9593-S</v>
      </c>
      <c r="B142" s="3" t="s">
        <v>83</v>
      </c>
      <c r="C142" s="42" t="s">
        <v>84</v>
      </c>
      <c r="D142" s="43"/>
      <c r="E142" s="44"/>
      <c r="F142" s="54">
        <v>2560</v>
      </c>
      <c r="G142" s="55"/>
      <c r="H142" s="56"/>
      <c r="I142" s="48">
        <v>301643.76</v>
      </c>
      <c r="J142" s="49"/>
      <c r="K142" s="50"/>
      <c r="L142" s="51">
        <v>117.83</v>
      </c>
      <c r="M142" s="52"/>
      <c r="N142" s="53"/>
    </row>
    <row r="143" spans="1:14" ht="15" customHeight="1" x14ac:dyDescent="0.3">
      <c r="A143" t="str">
        <f t="shared" si="6"/>
        <v>Majestic / 9596-S</v>
      </c>
      <c r="B143" s="3" t="s">
        <v>85</v>
      </c>
      <c r="C143" s="42" t="s">
        <v>86</v>
      </c>
      <c r="D143" s="43"/>
      <c r="E143" s="44"/>
      <c r="F143" s="54">
        <v>1867</v>
      </c>
      <c r="G143" s="55"/>
      <c r="H143" s="56"/>
      <c r="I143" s="48">
        <v>231754.23999999999</v>
      </c>
      <c r="J143" s="49"/>
      <c r="K143" s="50"/>
      <c r="L143" s="51">
        <v>124.13</v>
      </c>
      <c r="M143" s="52"/>
      <c r="N143" s="53"/>
    </row>
    <row r="144" spans="1:14" ht="16" customHeight="1" x14ac:dyDescent="0.3">
      <c r="A144" t="str">
        <f t="shared" si="6"/>
        <v>Majestic / 9600-S</v>
      </c>
      <c r="B144" s="3" t="s">
        <v>87</v>
      </c>
      <c r="C144" s="42" t="s">
        <v>52</v>
      </c>
      <c r="D144" s="43"/>
      <c r="E144" s="44"/>
      <c r="F144" s="54">
        <v>1280</v>
      </c>
      <c r="G144" s="55"/>
      <c r="H144" s="56"/>
      <c r="I144" s="48">
        <v>196520.32000000001</v>
      </c>
      <c r="J144" s="49"/>
      <c r="K144" s="50"/>
      <c r="L144" s="51">
        <v>153.53</v>
      </c>
      <c r="M144" s="52"/>
      <c r="N144" s="53"/>
    </row>
    <row r="145" spans="1:19" ht="16" customHeight="1" x14ac:dyDescent="0.3">
      <c r="A145" t="str">
        <f t="shared" si="6"/>
        <v>Majestic / 9601-S</v>
      </c>
      <c r="B145" s="3" t="s">
        <v>88</v>
      </c>
      <c r="C145" s="42" t="s">
        <v>54</v>
      </c>
      <c r="D145" s="43"/>
      <c r="E145" s="44"/>
      <c r="F145" s="54">
        <v>1599</v>
      </c>
      <c r="G145" s="55"/>
      <c r="H145" s="56"/>
      <c r="I145" s="48">
        <v>211046.32</v>
      </c>
      <c r="J145" s="49"/>
      <c r="K145" s="50"/>
      <c r="L145" s="51">
        <v>131.99</v>
      </c>
      <c r="M145" s="52"/>
      <c r="N145" s="53"/>
    </row>
    <row r="146" spans="1:19" ht="16" customHeight="1" x14ac:dyDescent="0.3">
      <c r="A146" t="str">
        <f t="shared" si="6"/>
        <v>Majestic / 9602-S</v>
      </c>
      <c r="B146" s="3" t="s">
        <v>89</v>
      </c>
      <c r="C146" s="42" t="s">
        <v>55</v>
      </c>
      <c r="D146" s="43"/>
      <c r="E146" s="44"/>
      <c r="F146" s="54">
        <v>1792</v>
      </c>
      <c r="G146" s="55"/>
      <c r="H146" s="56"/>
      <c r="I146" s="48">
        <v>229525.12</v>
      </c>
      <c r="J146" s="49"/>
      <c r="K146" s="50"/>
      <c r="L146" s="51">
        <v>128.08000000000001</v>
      </c>
      <c r="M146" s="52"/>
      <c r="N146" s="53"/>
    </row>
    <row r="147" spans="1:19" ht="15" customHeight="1" x14ac:dyDescent="0.3">
      <c r="A147" t="str">
        <f t="shared" si="6"/>
        <v>Majestic / 9603-S</v>
      </c>
      <c r="B147" s="3" t="s">
        <v>90</v>
      </c>
      <c r="C147" s="42" t="s">
        <v>91</v>
      </c>
      <c r="D147" s="43"/>
      <c r="E147" s="44"/>
      <c r="F147" s="54">
        <v>1980</v>
      </c>
      <c r="G147" s="55"/>
      <c r="H147" s="56"/>
      <c r="I147" s="48">
        <v>247709.76</v>
      </c>
      <c r="J147" s="49"/>
      <c r="K147" s="50"/>
      <c r="L147" s="51">
        <v>125.11</v>
      </c>
      <c r="M147" s="52"/>
      <c r="N147" s="53"/>
    </row>
    <row r="148" spans="1:19" ht="16" customHeight="1" x14ac:dyDescent="0.3">
      <c r="A148" t="str">
        <f t="shared" si="6"/>
        <v>Majestic / 9604-S</v>
      </c>
      <c r="B148" s="3" t="s">
        <v>92</v>
      </c>
      <c r="C148" s="42" t="s">
        <v>56</v>
      </c>
      <c r="D148" s="43"/>
      <c r="E148" s="44"/>
      <c r="F148" s="54">
        <v>1944</v>
      </c>
      <c r="G148" s="55"/>
      <c r="H148" s="56"/>
      <c r="I148" s="48">
        <v>258798.12</v>
      </c>
      <c r="J148" s="49"/>
      <c r="K148" s="50"/>
      <c r="L148" s="51">
        <v>133.13</v>
      </c>
      <c r="M148" s="52"/>
      <c r="N148" s="53"/>
    </row>
    <row r="149" spans="1:19" ht="16" customHeight="1" x14ac:dyDescent="0.3">
      <c r="B149" s="60" t="s">
        <v>93</v>
      </c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2"/>
    </row>
    <row r="150" spans="1:19" ht="16" customHeight="1" x14ac:dyDescent="0.3">
      <c r="A150" t="str">
        <f t="shared" si="6"/>
        <v>Majestic / 9596-S</v>
      </c>
      <c r="B150" s="3" t="s">
        <v>85</v>
      </c>
      <c r="C150" s="63" t="s">
        <v>94</v>
      </c>
      <c r="D150" s="64"/>
      <c r="E150" s="65"/>
      <c r="F150" s="54">
        <v>2100</v>
      </c>
      <c r="G150" s="55"/>
      <c r="H150" s="56"/>
      <c r="I150" s="48">
        <v>256743.96</v>
      </c>
      <c r="J150" s="49"/>
      <c r="K150" s="50"/>
      <c r="L150" s="51">
        <v>122.26</v>
      </c>
      <c r="M150" s="52"/>
      <c r="N150" s="53"/>
    </row>
    <row r="151" spans="1:19" ht="15" customHeight="1" x14ac:dyDescent="0.3">
      <c r="A151" t="str">
        <f t="shared" si="6"/>
        <v>Majestic / 9590-S</v>
      </c>
      <c r="B151" s="3" t="s">
        <v>81</v>
      </c>
      <c r="C151" s="63" t="s">
        <v>95</v>
      </c>
      <c r="D151" s="64"/>
      <c r="E151" s="65"/>
      <c r="F151" s="54">
        <v>1560</v>
      </c>
      <c r="G151" s="55"/>
      <c r="H151" s="56"/>
      <c r="I151" s="48">
        <v>218011.92</v>
      </c>
      <c r="J151" s="49"/>
      <c r="K151" s="50"/>
      <c r="L151" s="51">
        <v>139.75</v>
      </c>
      <c r="M151" s="52"/>
      <c r="N151" s="53"/>
    </row>
    <row r="152" spans="1:19" ht="16" customHeight="1" x14ac:dyDescent="0.3">
      <c r="A152" t="str">
        <f t="shared" si="6"/>
        <v>Majestic / 9601-S</v>
      </c>
      <c r="B152" s="3" t="s">
        <v>88</v>
      </c>
      <c r="C152" s="63" t="s">
        <v>96</v>
      </c>
      <c r="D152" s="64"/>
      <c r="E152" s="65"/>
      <c r="F152" s="54">
        <v>1800</v>
      </c>
      <c r="G152" s="55"/>
      <c r="H152" s="56"/>
      <c r="I152" s="48">
        <v>233581.2</v>
      </c>
      <c r="J152" s="49"/>
      <c r="K152" s="50"/>
      <c r="L152" s="51">
        <v>129.77000000000001</v>
      </c>
      <c r="M152" s="52"/>
      <c r="N152" s="53"/>
    </row>
    <row r="153" spans="1:19" ht="69" customHeight="1" x14ac:dyDescent="0.3">
      <c r="B153" s="66" t="s">
        <v>97</v>
      </c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</row>
    <row r="154" spans="1:19" ht="18" customHeight="1" x14ac:dyDescent="0.3">
      <c r="B154" s="8" t="s">
        <v>1</v>
      </c>
      <c r="C154" s="10"/>
      <c r="D154" s="8" t="s">
        <v>2</v>
      </c>
      <c r="E154" s="9"/>
      <c r="F154" s="10"/>
      <c r="G154" s="8" t="s">
        <v>3</v>
      </c>
      <c r="H154" s="9"/>
      <c r="I154" s="9"/>
      <c r="J154" s="10"/>
      <c r="K154" s="8" t="s">
        <v>4</v>
      </c>
      <c r="L154" s="9"/>
      <c r="M154" s="10"/>
      <c r="N154" s="8" t="s">
        <v>5</v>
      </c>
      <c r="O154" s="9"/>
      <c r="P154" s="10"/>
      <c r="Q154" s="11"/>
      <c r="R154" s="11"/>
      <c r="S154" s="11"/>
    </row>
    <row r="155" spans="1:19" ht="18" customHeight="1" x14ac:dyDescent="0.3">
      <c r="B155" s="15" t="s">
        <v>98</v>
      </c>
      <c r="C155" s="17"/>
      <c r="D155" s="18" t="s">
        <v>99</v>
      </c>
      <c r="E155" s="19"/>
      <c r="F155" s="20"/>
      <c r="G155" s="21">
        <v>533</v>
      </c>
      <c r="H155" s="67"/>
      <c r="I155" s="67"/>
      <c r="J155" s="22"/>
      <c r="K155" s="23">
        <v>95762.240000000005</v>
      </c>
      <c r="L155" s="24"/>
      <c r="M155" s="25"/>
      <c r="N155" s="26">
        <v>179.67</v>
      </c>
      <c r="O155" s="27"/>
      <c r="P155" s="28"/>
      <c r="Q155" s="11"/>
      <c r="R155" s="11"/>
      <c r="S155" s="11"/>
    </row>
    <row r="156" spans="1:19" ht="18" customHeight="1" x14ac:dyDescent="0.3">
      <c r="B156" s="15" t="s">
        <v>100</v>
      </c>
      <c r="C156" s="17"/>
      <c r="D156" s="18" t="s">
        <v>101</v>
      </c>
      <c r="E156" s="19"/>
      <c r="F156" s="20"/>
      <c r="G156" s="21">
        <v>640</v>
      </c>
      <c r="H156" s="67"/>
      <c r="I156" s="67"/>
      <c r="J156" s="22"/>
      <c r="K156" s="23">
        <v>99476.36</v>
      </c>
      <c r="L156" s="24"/>
      <c r="M156" s="25"/>
      <c r="N156" s="26">
        <v>155.43</v>
      </c>
      <c r="O156" s="27"/>
      <c r="P156" s="28"/>
      <c r="Q156" s="11"/>
      <c r="R156" s="11"/>
      <c r="S156" s="11"/>
    </row>
    <row r="157" spans="1:19" ht="18" customHeight="1" x14ac:dyDescent="0.3">
      <c r="B157" s="15" t="s">
        <v>102</v>
      </c>
      <c r="C157" s="17"/>
      <c r="D157" s="18" t="s">
        <v>103</v>
      </c>
      <c r="E157" s="19"/>
      <c r="F157" s="20"/>
      <c r="G157" s="21">
        <v>800</v>
      </c>
      <c r="H157" s="67"/>
      <c r="I157" s="67"/>
      <c r="J157" s="22"/>
      <c r="K157" s="23">
        <v>109633.76</v>
      </c>
      <c r="L157" s="24"/>
      <c r="M157" s="25"/>
      <c r="N157" s="26">
        <v>137.04</v>
      </c>
      <c r="O157" s="27"/>
      <c r="P157" s="28"/>
      <c r="Q157" s="11"/>
      <c r="R157" s="11"/>
      <c r="S157" s="11"/>
    </row>
    <row r="158" spans="1:19" ht="18" customHeight="1" x14ac:dyDescent="0.3">
      <c r="B158" s="15" t="s">
        <v>104</v>
      </c>
      <c r="C158" s="17"/>
      <c r="D158" s="18" t="s">
        <v>105</v>
      </c>
      <c r="E158" s="19"/>
      <c r="F158" s="20"/>
      <c r="G158" s="21">
        <v>880</v>
      </c>
      <c r="H158" s="67"/>
      <c r="I158" s="67"/>
      <c r="J158" s="22"/>
      <c r="K158" s="23">
        <v>116280.08</v>
      </c>
      <c r="L158" s="24"/>
      <c r="M158" s="25"/>
      <c r="N158" s="26">
        <v>132.13999999999999</v>
      </c>
      <c r="O158" s="27"/>
      <c r="P158" s="28"/>
      <c r="Q158" s="11"/>
      <c r="R158" s="11"/>
      <c r="S158" s="11"/>
    </row>
    <row r="159" spans="1:19" ht="18" customHeight="1" x14ac:dyDescent="0.3">
      <c r="B159" s="15" t="s">
        <v>106</v>
      </c>
      <c r="C159" s="17"/>
      <c r="D159" s="18" t="s">
        <v>107</v>
      </c>
      <c r="E159" s="19"/>
      <c r="F159" s="20"/>
      <c r="G159" s="21">
        <v>660</v>
      </c>
      <c r="H159" s="67"/>
      <c r="I159" s="67"/>
      <c r="J159" s="22"/>
      <c r="K159" s="23">
        <v>99237.68</v>
      </c>
      <c r="L159" s="24"/>
      <c r="M159" s="25"/>
      <c r="N159" s="26">
        <v>150.36000000000001</v>
      </c>
      <c r="O159" s="27"/>
      <c r="P159" s="28"/>
      <c r="Q159" s="11"/>
      <c r="R159" s="11"/>
      <c r="S159" s="11"/>
    </row>
    <row r="160" spans="1:19" ht="18" customHeight="1" x14ac:dyDescent="0.3">
      <c r="B160" s="15" t="s">
        <v>108</v>
      </c>
      <c r="C160" s="17"/>
      <c r="D160" s="18" t="s">
        <v>109</v>
      </c>
      <c r="E160" s="19"/>
      <c r="F160" s="20"/>
      <c r="G160" s="21">
        <v>780</v>
      </c>
      <c r="H160" s="67"/>
      <c r="I160" s="67"/>
      <c r="J160" s="22"/>
      <c r="K160" s="23">
        <v>107829.08</v>
      </c>
      <c r="L160" s="24"/>
      <c r="M160" s="25"/>
      <c r="N160" s="26">
        <v>138.24</v>
      </c>
      <c r="O160" s="27"/>
      <c r="P160" s="28"/>
      <c r="Q160" s="11"/>
      <c r="R160" s="11"/>
      <c r="S160" s="11"/>
    </row>
    <row r="161" spans="2:19" ht="18" customHeight="1" x14ac:dyDescent="0.3">
      <c r="B161" s="15" t="s">
        <v>110</v>
      </c>
      <c r="C161" s="17"/>
      <c r="D161" s="18" t="s">
        <v>111</v>
      </c>
      <c r="E161" s="19"/>
      <c r="F161" s="20"/>
      <c r="G161" s="21">
        <v>840</v>
      </c>
      <c r="H161" s="67"/>
      <c r="I161" s="67"/>
      <c r="J161" s="22"/>
      <c r="K161" s="23">
        <v>113318.72</v>
      </c>
      <c r="L161" s="24"/>
      <c r="M161" s="25"/>
      <c r="N161" s="26">
        <v>134.9</v>
      </c>
      <c r="O161" s="27"/>
      <c r="P161" s="28"/>
      <c r="Q161" s="11"/>
      <c r="R161" s="11"/>
      <c r="S161" s="11"/>
    </row>
    <row r="162" spans="2:19" ht="18" customHeight="1" x14ac:dyDescent="0.3">
      <c r="B162" s="15" t="s">
        <v>112</v>
      </c>
      <c r="C162" s="17"/>
      <c r="D162" s="18" t="s">
        <v>113</v>
      </c>
      <c r="E162" s="19"/>
      <c r="F162" s="20"/>
      <c r="G162" s="21">
        <v>900</v>
      </c>
      <c r="H162" s="67"/>
      <c r="I162" s="67"/>
      <c r="J162" s="22"/>
      <c r="K162" s="23">
        <v>115398.8</v>
      </c>
      <c r="L162" s="24"/>
      <c r="M162" s="25"/>
      <c r="N162" s="26">
        <v>128.22</v>
      </c>
      <c r="O162" s="27"/>
      <c r="P162" s="28"/>
      <c r="Q162" s="11"/>
      <c r="R162" s="11"/>
      <c r="S162" s="11"/>
    </row>
    <row r="163" spans="2:19" ht="18" customHeight="1" x14ac:dyDescent="0.3">
      <c r="B163" s="15" t="s">
        <v>114</v>
      </c>
      <c r="C163" s="17"/>
      <c r="D163" s="18" t="s">
        <v>115</v>
      </c>
      <c r="E163" s="19"/>
      <c r="F163" s="20"/>
      <c r="G163" s="21">
        <v>990</v>
      </c>
      <c r="H163" s="67"/>
      <c r="I163" s="67"/>
      <c r="J163" s="22"/>
      <c r="K163" s="23">
        <v>120709.16</v>
      </c>
      <c r="L163" s="24"/>
      <c r="M163" s="25"/>
      <c r="N163" s="26">
        <v>121.93</v>
      </c>
      <c r="O163" s="27"/>
      <c r="P163" s="28"/>
      <c r="Q163" s="11"/>
      <c r="R163" s="11"/>
      <c r="S163" s="11"/>
    </row>
    <row r="164" spans="2:19" ht="18" customHeight="1" x14ac:dyDescent="0.3">
      <c r="B164" s="15" t="s">
        <v>116</v>
      </c>
      <c r="C164" s="17"/>
      <c r="D164" s="18" t="s">
        <v>117</v>
      </c>
      <c r="E164" s="19"/>
      <c r="F164" s="20"/>
      <c r="G164" s="21">
        <v>1080</v>
      </c>
      <c r="H164" s="67"/>
      <c r="I164" s="67"/>
      <c r="J164" s="22"/>
      <c r="K164" s="23">
        <v>125207.36</v>
      </c>
      <c r="L164" s="24"/>
      <c r="M164" s="25"/>
      <c r="N164" s="26">
        <v>115.93</v>
      </c>
      <c r="O164" s="27"/>
      <c r="P164" s="28"/>
      <c r="Q164" s="11"/>
      <c r="R164" s="11"/>
      <c r="S164" s="11"/>
    </row>
    <row r="165" spans="2:19" ht="18" customHeight="1" x14ac:dyDescent="0.3">
      <c r="B165" s="15" t="s">
        <v>118</v>
      </c>
      <c r="C165" s="17"/>
      <c r="D165" s="18" t="s">
        <v>119</v>
      </c>
      <c r="E165" s="19"/>
      <c r="F165" s="20"/>
      <c r="G165" s="21">
        <v>1140</v>
      </c>
      <c r="H165" s="67"/>
      <c r="I165" s="67"/>
      <c r="J165" s="22"/>
      <c r="K165" s="23">
        <v>125473.04</v>
      </c>
      <c r="L165" s="24"/>
      <c r="M165" s="25"/>
      <c r="N165" s="26">
        <v>110.06</v>
      </c>
      <c r="O165" s="27"/>
      <c r="P165" s="28"/>
      <c r="Q165" s="11"/>
      <c r="R165" s="11"/>
      <c r="S165" s="11"/>
    </row>
    <row r="166" spans="2:19" ht="18" customHeight="1" x14ac:dyDescent="0.3">
      <c r="B166" s="15" t="s">
        <v>120</v>
      </c>
      <c r="C166" s="17"/>
      <c r="D166" s="18" t="s">
        <v>121</v>
      </c>
      <c r="E166" s="19"/>
      <c r="F166" s="20"/>
      <c r="G166" s="21">
        <v>1056</v>
      </c>
      <c r="H166" s="67"/>
      <c r="I166" s="67"/>
      <c r="J166" s="22"/>
      <c r="K166" s="23">
        <v>145176.04</v>
      </c>
      <c r="L166" s="24"/>
      <c r="M166" s="25"/>
      <c r="N166" s="26">
        <v>137.47999999999999</v>
      </c>
      <c r="O166" s="27"/>
      <c r="P166" s="28"/>
      <c r="Q166" s="11"/>
      <c r="R166" s="11"/>
      <c r="S166" s="11"/>
    </row>
    <row r="167" spans="2:19" ht="18" customHeight="1" x14ac:dyDescent="0.3">
      <c r="B167" s="15" t="s">
        <v>122</v>
      </c>
      <c r="C167" s="17"/>
      <c r="D167" s="18" t="s">
        <v>123</v>
      </c>
      <c r="E167" s="19"/>
      <c r="F167" s="20"/>
      <c r="G167" s="21">
        <v>1152</v>
      </c>
      <c r="H167" s="67"/>
      <c r="I167" s="67"/>
      <c r="J167" s="22"/>
      <c r="K167" s="23">
        <v>150546.88</v>
      </c>
      <c r="L167" s="24"/>
      <c r="M167" s="25"/>
      <c r="N167" s="26">
        <v>130.68</v>
      </c>
      <c r="O167" s="27"/>
      <c r="P167" s="28"/>
      <c r="Q167" s="11"/>
      <c r="R167" s="11"/>
      <c r="S167" s="11"/>
    </row>
    <row r="168" spans="2:19" ht="18" customHeight="1" x14ac:dyDescent="0.3">
      <c r="B168" s="15" t="s">
        <v>124</v>
      </c>
      <c r="C168" s="17"/>
      <c r="D168" s="18" t="s">
        <v>125</v>
      </c>
      <c r="E168" s="19"/>
      <c r="F168" s="20"/>
      <c r="G168" s="21">
        <v>1248</v>
      </c>
      <c r="H168" s="67"/>
      <c r="I168" s="67"/>
      <c r="J168" s="22"/>
      <c r="K168" s="23">
        <v>155456.56</v>
      </c>
      <c r="L168" s="24"/>
      <c r="M168" s="25"/>
      <c r="N168" s="26">
        <v>124.56</v>
      </c>
      <c r="O168" s="27"/>
      <c r="P168" s="28"/>
      <c r="Q168" s="11"/>
      <c r="R168" s="11"/>
      <c r="S168" s="11"/>
    </row>
    <row r="169" spans="2:19" ht="18" customHeight="1" x14ac:dyDescent="0.3">
      <c r="B169" s="15" t="s">
        <v>126</v>
      </c>
      <c r="C169" s="17"/>
      <c r="D169" s="18" t="s">
        <v>127</v>
      </c>
      <c r="E169" s="19"/>
      <c r="F169" s="20"/>
      <c r="G169" s="21">
        <v>1176</v>
      </c>
      <c r="H169" s="67"/>
      <c r="I169" s="67"/>
      <c r="J169" s="22"/>
      <c r="K169" s="23">
        <v>157268.79999999999</v>
      </c>
      <c r="L169" s="24"/>
      <c r="M169" s="25"/>
      <c r="N169" s="26">
        <v>133.72999999999999</v>
      </c>
      <c r="O169" s="27"/>
      <c r="P169" s="28"/>
      <c r="Q169" s="11"/>
      <c r="R169" s="11"/>
      <c r="S169" s="11"/>
    </row>
    <row r="170" spans="2:19" ht="18" customHeight="1" x14ac:dyDescent="0.3">
      <c r="B170" s="15" t="s">
        <v>128</v>
      </c>
      <c r="C170" s="17"/>
      <c r="D170" s="18" t="s">
        <v>129</v>
      </c>
      <c r="E170" s="19"/>
      <c r="F170" s="20"/>
      <c r="G170" s="21">
        <v>1344</v>
      </c>
      <c r="H170" s="67"/>
      <c r="I170" s="67"/>
      <c r="J170" s="22"/>
      <c r="K170" s="23">
        <v>157219.12</v>
      </c>
      <c r="L170" s="24"/>
      <c r="M170" s="25"/>
      <c r="N170" s="26">
        <v>116.98</v>
      </c>
      <c r="O170" s="27"/>
      <c r="P170" s="28"/>
      <c r="Q170" s="11"/>
      <c r="R170" s="11"/>
      <c r="S170" s="11"/>
    </row>
    <row r="171" spans="2:19" ht="18" customHeight="1" x14ac:dyDescent="0.3">
      <c r="B171" s="15" t="s">
        <v>130</v>
      </c>
      <c r="C171" s="17"/>
      <c r="D171" s="18" t="s">
        <v>131</v>
      </c>
      <c r="E171" s="19"/>
      <c r="F171" s="20"/>
      <c r="G171" s="21">
        <v>1272</v>
      </c>
      <c r="H171" s="67"/>
      <c r="I171" s="67"/>
      <c r="J171" s="22"/>
      <c r="K171" s="23">
        <v>158423.32</v>
      </c>
      <c r="L171" s="24"/>
      <c r="M171" s="25"/>
      <c r="N171" s="26">
        <v>124.55</v>
      </c>
      <c r="O171" s="27"/>
      <c r="P171" s="28"/>
      <c r="Q171" s="11"/>
      <c r="R171" s="11"/>
      <c r="S171" s="11"/>
    </row>
    <row r="172" spans="2:19" ht="18" customHeight="1" x14ac:dyDescent="0.3">
      <c r="B172" s="15" t="s">
        <v>132</v>
      </c>
      <c r="C172" s="17"/>
      <c r="D172" s="18" t="s">
        <v>133</v>
      </c>
      <c r="E172" s="19"/>
      <c r="F172" s="20"/>
      <c r="G172" s="21">
        <v>1067</v>
      </c>
      <c r="H172" s="67"/>
      <c r="I172" s="67"/>
      <c r="J172" s="22"/>
      <c r="K172" s="23">
        <v>146113.48000000001</v>
      </c>
      <c r="L172" s="24"/>
      <c r="M172" s="25"/>
      <c r="N172" s="26">
        <v>136.94</v>
      </c>
      <c r="O172" s="27"/>
      <c r="P172" s="28"/>
      <c r="Q172" s="11"/>
      <c r="R172" s="11"/>
      <c r="S172" s="11"/>
    </row>
    <row r="173" spans="2:19" ht="18" customHeight="1" x14ac:dyDescent="0.3">
      <c r="B173" s="15" t="s">
        <v>134</v>
      </c>
      <c r="C173" s="17"/>
      <c r="D173" s="18" t="s">
        <v>135</v>
      </c>
      <c r="E173" s="19"/>
      <c r="F173" s="20"/>
      <c r="G173" s="21">
        <v>1173</v>
      </c>
      <c r="H173" s="67"/>
      <c r="I173" s="67"/>
      <c r="J173" s="22"/>
      <c r="K173" s="23">
        <v>152616.16</v>
      </c>
      <c r="L173" s="24"/>
      <c r="M173" s="25"/>
      <c r="N173" s="26">
        <v>130.11000000000001</v>
      </c>
      <c r="O173" s="27"/>
      <c r="P173" s="28"/>
      <c r="Q173" s="11"/>
      <c r="R173" s="11"/>
      <c r="S173" s="11"/>
    </row>
    <row r="174" spans="2:19" ht="18" customHeight="1" x14ac:dyDescent="0.3">
      <c r="B174" s="15" t="s">
        <v>136</v>
      </c>
      <c r="C174" s="17"/>
      <c r="D174" s="18" t="s">
        <v>137</v>
      </c>
      <c r="E174" s="19"/>
      <c r="F174" s="20"/>
      <c r="G174" s="21">
        <v>1280</v>
      </c>
      <c r="H174" s="67"/>
      <c r="I174" s="67"/>
      <c r="J174" s="22"/>
      <c r="K174" s="23">
        <v>154043.92000000001</v>
      </c>
      <c r="L174" s="24"/>
      <c r="M174" s="25"/>
      <c r="N174" s="26">
        <v>120.35</v>
      </c>
      <c r="O174" s="27"/>
      <c r="P174" s="28"/>
      <c r="Q174" s="11"/>
      <c r="R174" s="11"/>
      <c r="S174" s="11"/>
    </row>
    <row r="175" spans="2:19" ht="18" customHeight="1" x14ac:dyDescent="0.3">
      <c r="B175" s="15" t="s">
        <v>138</v>
      </c>
      <c r="C175" s="17"/>
      <c r="D175" s="18" t="s">
        <v>139</v>
      </c>
      <c r="E175" s="19"/>
      <c r="F175" s="20"/>
      <c r="G175" s="21">
        <v>1306</v>
      </c>
      <c r="H175" s="67"/>
      <c r="I175" s="67"/>
      <c r="J175" s="22"/>
      <c r="K175" s="23">
        <v>160162.12</v>
      </c>
      <c r="L175" s="24"/>
      <c r="M175" s="25"/>
      <c r="N175" s="26">
        <v>122.64</v>
      </c>
      <c r="O175" s="27"/>
      <c r="P175" s="28"/>
      <c r="Q175" s="11"/>
      <c r="R175" s="11"/>
      <c r="S175" s="11"/>
    </row>
    <row r="176" spans="2:19" ht="18" customHeight="1" x14ac:dyDescent="0.3">
      <c r="B176" s="15" t="s">
        <v>140</v>
      </c>
      <c r="C176" s="17"/>
      <c r="D176" s="18" t="s">
        <v>141</v>
      </c>
      <c r="E176" s="19"/>
      <c r="F176" s="20"/>
      <c r="G176" s="21">
        <v>1387</v>
      </c>
      <c r="H176" s="67"/>
      <c r="I176" s="67"/>
      <c r="J176" s="22"/>
      <c r="K176" s="23">
        <v>158030.20000000001</v>
      </c>
      <c r="L176" s="24"/>
      <c r="M176" s="25"/>
      <c r="N176" s="26">
        <v>113.94</v>
      </c>
      <c r="O176" s="27"/>
      <c r="P176" s="28"/>
      <c r="Q176" s="11"/>
      <c r="R176" s="11"/>
      <c r="S176" s="11"/>
    </row>
    <row r="177" spans="2:19" ht="18" customHeight="1" x14ac:dyDescent="0.3">
      <c r="B177" s="15" t="s">
        <v>142</v>
      </c>
      <c r="C177" s="17"/>
      <c r="D177" s="18" t="s">
        <v>143</v>
      </c>
      <c r="E177" s="19"/>
      <c r="F177" s="20"/>
      <c r="G177" s="21">
        <v>1493</v>
      </c>
      <c r="H177" s="67"/>
      <c r="I177" s="67"/>
      <c r="J177" s="22"/>
      <c r="K177" s="23">
        <v>162890.20000000001</v>
      </c>
      <c r="L177" s="24"/>
      <c r="M177" s="25"/>
      <c r="N177" s="26">
        <v>109.1</v>
      </c>
      <c r="O177" s="27"/>
      <c r="P177" s="28"/>
      <c r="Q177" s="11"/>
      <c r="R177" s="11"/>
      <c r="S177" s="11"/>
    </row>
    <row r="178" spans="2:19" ht="18" customHeight="1" x14ac:dyDescent="0.3">
      <c r="B178" s="15" t="s">
        <v>144</v>
      </c>
      <c r="C178" s="17"/>
      <c r="D178" s="18" t="s">
        <v>145</v>
      </c>
      <c r="E178" s="19"/>
      <c r="F178" s="20"/>
      <c r="G178" s="21">
        <v>1414</v>
      </c>
      <c r="H178" s="67"/>
      <c r="I178" s="67"/>
      <c r="J178" s="22"/>
      <c r="K178" s="23">
        <v>162691.48000000001</v>
      </c>
      <c r="L178" s="24"/>
      <c r="M178" s="25"/>
      <c r="N178" s="26">
        <v>115.06</v>
      </c>
      <c r="O178" s="27"/>
      <c r="P178" s="28"/>
      <c r="Q178" s="11"/>
      <c r="R178" s="11"/>
      <c r="S178" s="11"/>
    </row>
    <row r="179" spans="2:19" ht="18" customHeight="1" x14ac:dyDescent="0.3">
      <c r="B179" s="15" t="s">
        <v>146</v>
      </c>
      <c r="C179" s="17"/>
      <c r="D179" s="18" t="s">
        <v>147</v>
      </c>
      <c r="E179" s="19"/>
      <c r="F179" s="20"/>
      <c r="G179" s="21">
        <v>1600</v>
      </c>
      <c r="H179" s="67"/>
      <c r="I179" s="67"/>
      <c r="J179" s="22"/>
      <c r="K179" s="23">
        <v>167548.24</v>
      </c>
      <c r="L179" s="24"/>
      <c r="M179" s="25"/>
      <c r="N179" s="26">
        <v>104.72</v>
      </c>
      <c r="O179" s="27"/>
      <c r="P179" s="28"/>
      <c r="Q179" s="11"/>
      <c r="R179" s="11"/>
      <c r="S179" s="11"/>
    </row>
    <row r="180" spans="2:19" ht="18" customHeight="1" x14ac:dyDescent="0.3">
      <c r="B180" s="15" t="s">
        <v>148</v>
      </c>
      <c r="C180" s="17"/>
      <c r="D180" s="18" t="s">
        <v>149</v>
      </c>
      <c r="E180" s="19"/>
      <c r="F180" s="20"/>
      <c r="G180" s="21">
        <v>1760</v>
      </c>
      <c r="H180" s="67"/>
      <c r="I180" s="67"/>
      <c r="J180" s="22"/>
      <c r="K180" s="23">
        <v>174708.64</v>
      </c>
      <c r="L180" s="24"/>
      <c r="M180" s="25"/>
      <c r="N180" s="26">
        <v>99.27</v>
      </c>
      <c r="O180" s="27"/>
      <c r="P180" s="28"/>
      <c r="Q180" s="11"/>
      <c r="R180" s="11"/>
      <c r="S180" s="11"/>
    </row>
    <row r="181" spans="2:19" ht="18" customHeight="1" x14ac:dyDescent="0.3">
      <c r="B181" s="15" t="s">
        <v>150</v>
      </c>
      <c r="C181" s="17"/>
      <c r="D181" s="18" t="s">
        <v>151</v>
      </c>
      <c r="E181" s="19"/>
      <c r="F181" s="20"/>
      <c r="G181" s="21">
        <v>1920</v>
      </c>
      <c r="H181" s="67"/>
      <c r="I181" s="67"/>
      <c r="J181" s="22"/>
      <c r="K181" s="23">
        <v>183107.8</v>
      </c>
      <c r="L181" s="24"/>
      <c r="M181" s="25"/>
      <c r="N181" s="26">
        <v>95.37</v>
      </c>
      <c r="O181" s="27"/>
      <c r="P181" s="28"/>
      <c r="Q181" s="11"/>
      <c r="R181" s="11"/>
      <c r="S181" s="11"/>
    </row>
    <row r="182" spans="2:19" ht="18" customHeight="1" x14ac:dyDescent="0.3">
      <c r="B182" s="15" t="s">
        <v>152</v>
      </c>
      <c r="C182" s="17"/>
      <c r="D182" s="18" t="s">
        <v>153</v>
      </c>
      <c r="E182" s="19"/>
      <c r="F182" s="20"/>
      <c r="G182" s="21">
        <v>2052</v>
      </c>
      <c r="H182" s="67"/>
      <c r="I182" s="67"/>
      <c r="J182" s="22"/>
      <c r="K182" s="23">
        <v>190411.84</v>
      </c>
      <c r="L182" s="24"/>
      <c r="M182" s="25"/>
      <c r="N182" s="26">
        <v>92.79</v>
      </c>
      <c r="O182" s="27"/>
      <c r="P182" s="28"/>
      <c r="Q182" s="11"/>
      <c r="R182" s="11"/>
      <c r="S182" s="11"/>
    </row>
    <row r="183" spans="2:19" ht="18" customHeight="1" x14ac:dyDescent="0.3">
      <c r="B183" s="15" t="s">
        <v>154</v>
      </c>
      <c r="C183" s="17"/>
      <c r="D183" s="18" t="s">
        <v>155</v>
      </c>
      <c r="E183" s="19"/>
      <c r="F183" s="20"/>
      <c r="G183" s="21">
        <v>1680</v>
      </c>
      <c r="H183" s="67"/>
      <c r="I183" s="67"/>
      <c r="J183" s="22"/>
      <c r="K183" s="23">
        <v>178248.48</v>
      </c>
      <c r="L183" s="24"/>
      <c r="M183" s="25"/>
      <c r="N183" s="26">
        <v>106.1</v>
      </c>
      <c r="O183" s="27"/>
      <c r="P183" s="28"/>
      <c r="Q183" s="11"/>
      <c r="R183" s="11"/>
      <c r="S183" s="11"/>
    </row>
    <row r="184" spans="2:19" ht="18.75" customHeight="1" x14ac:dyDescent="0.3">
      <c r="B184" s="15" t="s">
        <v>156</v>
      </c>
      <c r="C184" s="17"/>
      <c r="D184" s="18" t="s">
        <v>157</v>
      </c>
      <c r="E184" s="19"/>
      <c r="F184" s="20"/>
      <c r="G184" s="21">
        <v>1493</v>
      </c>
      <c r="H184" s="67"/>
      <c r="I184" s="67"/>
      <c r="J184" s="22"/>
      <c r="K184" s="23">
        <v>162732.51999999999</v>
      </c>
      <c r="L184" s="24"/>
      <c r="M184" s="25"/>
      <c r="N184" s="26">
        <v>109</v>
      </c>
      <c r="O184" s="27"/>
      <c r="P184" s="28"/>
      <c r="Q184" s="11"/>
      <c r="R184" s="11"/>
      <c r="S184" s="11"/>
    </row>
  </sheetData>
  <mergeCells count="896">
    <mergeCell ref="B184:C184"/>
    <mergeCell ref="D184:F184"/>
    <mergeCell ref="G184:J184"/>
    <mergeCell ref="K184:M184"/>
    <mergeCell ref="N184:P184"/>
    <mergeCell ref="Q184:S184"/>
    <mergeCell ref="B182:C182"/>
    <mergeCell ref="D182:F182"/>
    <mergeCell ref="G182:J182"/>
    <mergeCell ref="K182:M182"/>
    <mergeCell ref="N182:P182"/>
    <mergeCell ref="Q182:S182"/>
    <mergeCell ref="B183:C183"/>
    <mergeCell ref="D183:F183"/>
    <mergeCell ref="G183:J183"/>
    <mergeCell ref="K183:M183"/>
    <mergeCell ref="N183:P183"/>
    <mergeCell ref="Q183:S183"/>
    <mergeCell ref="B180:C180"/>
    <mergeCell ref="D180:F180"/>
    <mergeCell ref="G180:J180"/>
    <mergeCell ref="K180:M180"/>
    <mergeCell ref="N180:P180"/>
    <mergeCell ref="Q180:S180"/>
    <mergeCell ref="B181:C181"/>
    <mergeCell ref="D181:F181"/>
    <mergeCell ref="G181:J181"/>
    <mergeCell ref="K181:M181"/>
    <mergeCell ref="N181:P181"/>
    <mergeCell ref="Q181:S181"/>
    <mergeCell ref="B178:C178"/>
    <mergeCell ref="D178:F178"/>
    <mergeCell ref="G178:J178"/>
    <mergeCell ref="K178:M178"/>
    <mergeCell ref="N178:P178"/>
    <mergeCell ref="Q178:S178"/>
    <mergeCell ref="B179:C179"/>
    <mergeCell ref="D179:F179"/>
    <mergeCell ref="G179:J179"/>
    <mergeCell ref="K179:M179"/>
    <mergeCell ref="N179:P179"/>
    <mergeCell ref="Q179:S179"/>
    <mergeCell ref="B176:C176"/>
    <mergeCell ref="D176:F176"/>
    <mergeCell ref="G176:J176"/>
    <mergeCell ref="K176:M176"/>
    <mergeCell ref="N176:P176"/>
    <mergeCell ref="Q176:S176"/>
    <mergeCell ref="B177:C177"/>
    <mergeCell ref="D177:F177"/>
    <mergeCell ref="G177:J177"/>
    <mergeCell ref="K177:M177"/>
    <mergeCell ref="N177:P177"/>
    <mergeCell ref="Q177:S177"/>
    <mergeCell ref="B174:C174"/>
    <mergeCell ref="D174:F174"/>
    <mergeCell ref="G174:J174"/>
    <mergeCell ref="K174:M174"/>
    <mergeCell ref="N174:P174"/>
    <mergeCell ref="Q174:S174"/>
    <mergeCell ref="B175:C175"/>
    <mergeCell ref="D175:F175"/>
    <mergeCell ref="G175:J175"/>
    <mergeCell ref="K175:M175"/>
    <mergeCell ref="N175:P175"/>
    <mergeCell ref="Q175:S175"/>
    <mergeCell ref="B172:C172"/>
    <mergeCell ref="D172:F172"/>
    <mergeCell ref="G172:J172"/>
    <mergeCell ref="K172:M172"/>
    <mergeCell ref="N172:P172"/>
    <mergeCell ref="Q172:S172"/>
    <mergeCell ref="B173:C173"/>
    <mergeCell ref="D173:F173"/>
    <mergeCell ref="G173:J173"/>
    <mergeCell ref="K173:M173"/>
    <mergeCell ref="N173:P173"/>
    <mergeCell ref="Q173:S173"/>
    <mergeCell ref="B170:C170"/>
    <mergeCell ref="D170:F170"/>
    <mergeCell ref="G170:J170"/>
    <mergeCell ref="K170:M170"/>
    <mergeCell ref="N170:P170"/>
    <mergeCell ref="Q170:S170"/>
    <mergeCell ref="B171:C171"/>
    <mergeCell ref="D171:F171"/>
    <mergeCell ref="G171:J171"/>
    <mergeCell ref="K171:M171"/>
    <mergeCell ref="N171:P171"/>
    <mergeCell ref="Q171:S171"/>
    <mergeCell ref="B168:C168"/>
    <mergeCell ref="D168:F168"/>
    <mergeCell ref="G168:J168"/>
    <mergeCell ref="K168:M168"/>
    <mergeCell ref="N168:P168"/>
    <mergeCell ref="Q168:S168"/>
    <mergeCell ref="B169:C169"/>
    <mergeCell ref="D169:F169"/>
    <mergeCell ref="G169:J169"/>
    <mergeCell ref="K169:M169"/>
    <mergeCell ref="N169:P169"/>
    <mergeCell ref="Q169:S169"/>
    <mergeCell ref="B166:C166"/>
    <mergeCell ref="D166:F166"/>
    <mergeCell ref="G166:J166"/>
    <mergeCell ref="K166:M166"/>
    <mergeCell ref="N166:P166"/>
    <mergeCell ref="Q166:S166"/>
    <mergeCell ref="B167:C167"/>
    <mergeCell ref="D167:F167"/>
    <mergeCell ref="G167:J167"/>
    <mergeCell ref="K167:M167"/>
    <mergeCell ref="N167:P167"/>
    <mergeCell ref="Q167:S167"/>
    <mergeCell ref="B164:C164"/>
    <mergeCell ref="D164:F164"/>
    <mergeCell ref="G164:J164"/>
    <mergeCell ref="K164:M164"/>
    <mergeCell ref="N164:P164"/>
    <mergeCell ref="Q164:S164"/>
    <mergeCell ref="B165:C165"/>
    <mergeCell ref="D165:F165"/>
    <mergeCell ref="G165:J165"/>
    <mergeCell ref="K165:M165"/>
    <mergeCell ref="N165:P165"/>
    <mergeCell ref="Q165:S165"/>
    <mergeCell ref="B162:C162"/>
    <mergeCell ref="D162:F162"/>
    <mergeCell ref="G162:J162"/>
    <mergeCell ref="K162:M162"/>
    <mergeCell ref="N162:P162"/>
    <mergeCell ref="Q162:S162"/>
    <mergeCell ref="B163:C163"/>
    <mergeCell ref="D163:F163"/>
    <mergeCell ref="G163:J163"/>
    <mergeCell ref="K163:M163"/>
    <mergeCell ref="N163:P163"/>
    <mergeCell ref="Q163:S163"/>
    <mergeCell ref="B160:C160"/>
    <mergeCell ref="D160:F160"/>
    <mergeCell ref="G160:J160"/>
    <mergeCell ref="K160:M160"/>
    <mergeCell ref="N160:P160"/>
    <mergeCell ref="Q160:S160"/>
    <mergeCell ref="B161:C161"/>
    <mergeCell ref="D161:F161"/>
    <mergeCell ref="G161:J161"/>
    <mergeCell ref="K161:M161"/>
    <mergeCell ref="N161:P161"/>
    <mergeCell ref="Q161:S161"/>
    <mergeCell ref="B158:C158"/>
    <mergeCell ref="D158:F158"/>
    <mergeCell ref="G158:J158"/>
    <mergeCell ref="K158:M158"/>
    <mergeCell ref="N158:P158"/>
    <mergeCell ref="Q158:S158"/>
    <mergeCell ref="B159:C159"/>
    <mergeCell ref="D159:F159"/>
    <mergeCell ref="G159:J159"/>
    <mergeCell ref="K159:M159"/>
    <mergeCell ref="N159:P159"/>
    <mergeCell ref="Q159:S159"/>
    <mergeCell ref="B156:C156"/>
    <mergeCell ref="D156:F156"/>
    <mergeCell ref="G156:J156"/>
    <mergeCell ref="K156:M156"/>
    <mergeCell ref="N156:P156"/>
    <mergeCell ref="Q156:S156"/>
    <mergeCell ref="B157:C157"/>
    <mergeCell ref="D157:F157"/>
    <mergeCell ref="G157:J157"/>
    <mergeCell ref="K157:M157"/>
    <mergeCell ref="N157:P157"/>
    <mergeCell ref="Q157:S157"/>
    <mergeCell ref="B154:C154"/>
    <mergeCell ref="D154:F154"/>
    <mergeCell ref="G154:J154"/>
    <mergeCell ref="K154:M154"/>
    <mergeCell ref="N154:P154"/>
    <mergeCell ref="Q154:S154"/>
    <mergeCell ref="B155:C155"/>
    <mergeCell ref="D155:F155"/>
    <mergeCell ref="G155:J155"/>
    <mergeCell ref="K155:M155"/>
    <mergeCell ref="N155:P155"/>
    <mergeCell ref="Q155:S155"/>
    <mergeCell ref="C151:E151"/>
    <mergeCell ref="F151:H151"/>
    <mergeCell ref="I151:K151"/>
    <mergeCell ref="L151:N151"/>
    <mergeCell ref="C152:E152"/>
    <mergeCell ref="F152:H152"/>
    <mergeCell ref="I152:K152"/>
    <mergeCell ref="L152:N152"/>
    <mergeCell ref="B153:S153"/>
    <mergeCell ref="C148:E148"/>
    <mergeCell ref="F148:H148"/>
    <mergeCell ref="I148:K148"/>
    <mergeCell ref="L148:N148"/>
    <mergeCell ref="B149:N149"/>
    <mergeCell ref="C150:E150"/>
    <mergeCell ref="F150:H150"/>
    <mergeCell ref="I150:K150"/>
    <mergeCell ref="L150:N150"/>
    <mergeCell ref="C145:E145"/>
    <mergeCell ref="F145:H145"/>
    <mergeCell ref="I145:K145"/>
    <mergeCell ref="L145:N145"/>
    <mergeCell ref="C146:E146"/>
    <mergeCell ref="F146:H146"/>
    <mergeCell ref="I146:K146"/>
    <mergeCell ref="L146:N146"/>
    <mergeCell ref="C147:E147"/>
    <mergeCell ref="F147:H147"/>
    <mergeCell ref="I147:K147"/>
    <mergeCell ref="L147:N147"/>
    <mergeCell ref="C142:E142"/>
    <mergeCell ref="F142:H142"/>
    <mergeCell ref="I142:K142"/>
    <mergeCell ref="L142:N142"/>
    <mergeCell ref="C143:E143"/>
    <mergeCell ref="F143:H143"/>
    <mergeCell ref="I143:K143"/>
    <mergeCell ref="L143:N143"/>
    <mergeCell ref="C144:E144"/>
    <mergeCell ref="F144:H144"/>
    <mergeCell ref="I144:K144"/>
    <mergeCell ref="L144:N144"/>
    <mergeCell ref="C139:E139"/>
    <mergeCell ref="F139:H139"/>
    <mergeCell ref="I139:K139"/>
    <mergeCell ref="L139:N139"/>
    <mergeCell ref="C140:E140"/>
    <mergeCell ref="F140:H140"/>
    <mergeCell ref="I140:K140"/>
    <mergeCell ref="L140:N140"/>
    <mergeCell ref="C141:E141"/>
    <mergeCell ref="F141:H141"/>
    <mergeCell ref="I141:K141"/>
    <mergeCell ref="L141:N141"/>
    <mergeCell ref="C136:E136"/>
    <mergeCell ref="F136:H136"/>
    <mergeCell ref="I136:K136"/>
    <mergeCell ref="L136:N136"/>
    <mergeCell ref="B137:N137"/>
    <mergeCell ref="C138:E138"/>
    <mergeCell ref="F138:H138"/>
    <mergeCell ref="I138:K138"/>
    <mergeCell ref="L138:N138"/>
    <mergeCell ref="C133:E133"/>
    <mergeCell ref="F133:H133"/>
    <mergeCell ref="I133:K133"/>
    <mergeCell ref="L133:N133"/>
    <mergeCell ref="C134:E134"/>
    <mergeCell ref="F134:H134"/>
    <mergeCell ref="I134:K134"/>
    <mergeCell ref="L134:N134"/>
    <mergeCell ref="C135:E135"/>
    <mergeCell ref="F135:H135"/>
    <mergeCell ref="I135:K135"/>
    <mergeCell ref="L135:N135"/>
    <mergeCell ref="C130:E130"/>
    <mergeCell ref="F130:H130"/>
    <mergeCell ref="I130:K130"/>
    <mergeCell ref="L130:N130"/>
    <mergeCell ref="C131:E131"/>
    <mergeCell ref="F131:H131"/>
    <mergeCell ref="I131:K131"/>
    <mergeCell ref="L131:N131"/>
    <mergeCell ref="C132:E132"/>
    <mergeCell ref="F132:H132"/>
    <mergeCell ref="I132:K132"/>
    <mergeCell ref="L132:N132"/>
    <mergeCell ref="C127:E127"/>
    <mergeCell ref="F127:H127"/>
    <mergeCell ref="I127:K127"/>
    <mergeCell ref="L127:N127"/>
    <mergeCell ref="C128:E128"/>
    <mergeCell ref="F128:H128"/>
    <mergeCell ref="I128:K128"/>
    <mergeCell ref="L128:N128"/>
    <mergeCell ref="C129:E129"/>
    <mergeCell ref="F129:H129"/>
    <mergeCell ref="I129:K129"/>
    <mergeCell ref="L129:N129"/>
    <mergeCell ref="C124:E124"/>
    <mergeCell ref="F124:H124"/>
    <mergeCell ref="I124:K124"/>
    <mergeCell ref="L124:N124"/>
    <mergeCell ref="C125:E125"/>
    <mergeCell ref="F125:H125"/>
    <mergeCell ref="I125:K125"/>
    <mergeCell ref="L125:N125"/>
    <mergeCell ref="C126:E126"/>
    <mergeCell ref="F126:H126"/>
    <mergeCell ref="I126:K126"/>
    <mergeCell ref="L126:N126"/>
    <mergeCell ref="C121:E121"/>
    <mergeCell ref="F121:H121"/>
    <mergeCell ref="I121:K121"/>
    <mergeCell ref="L121:N121"/>
    <mergeCell ref="C122:E122"/>
    <mergeCell ref="F122:H122"/>
    <mergeCell ref="I122:K122"/>
    <mergeCell ref="L122:N122"/>
    <mergeCell ref="C123:E123"/>
    <mergeCell ref="F123:H123"/>
    <mergeCell ref="I123:K123"/>
    <mergeCell ref="L123:N123"/>
    <mergeCell ref="C118:E118"/>
    <mergeCell ref="F118:H118"/>
    <mergeCell ref="I118:K118"/>
    <mergeCell ref="L118:N118"/>
    <mergeCell ref="C119:E119"/>
    <mergeCell ref="F119:H119"/>
    <mergeCell ref="I119:K119"/>
    <mergeCell ref="L119:N119"/>
    <mergeCell ref="C120:E120"/>
    <mergeCell ref="F120:H120"/>
    <mergeCell ref="I120:K120"/>
    <mergeCell ref="L120:N120"/>
    <mergeCell ref="C115:E115"/>
    <mergeCell ref="F115:H115"/>
    <mergeCell ref="I115:K115"/>
    <mergeCell ref="L115:N115"/>
    <mergeCell ref="C116:E116"/>
    <mergeCell ref="F116:H116"/>
    <mergeCell ref="I116:K116"/>
    <mergeCell ref="L116:N116"/>
    <mergeCell ref="B117:N117"/>
    <mergeCell ref="C113:E113"/>
    <mergeCell ref="F113:H113"/>
    <mergeCell ref="I113:K113"/>
    <mergeCell ref="L113:N113"/>
    <mergeCell ref="O113:Q113"/>
    <mergeCell ref="C114:E114"/>
    <mergeCell ref="F114:H114"/>
    <mergeCell ref="I114:K114"/>
    <mergeCell ref="L114:N114"/>
    <mergeCell ref="O114:Q114"/>
    <mergeCell ref="C111:E111"/>
    <mergeCell ref="F111:H111"/>
    <mergeCell ref="I111:K111"/>
    <mergeCell ref="L111:N111"/>
    <mergeCell ref="O111:Q111"/>
    <mergeCell ref="C112:E112"/>
    <mergeCell ref="F112:H112"/>
    <mergeCell ref="I112:K112"/>
    <mergeCell ref="L112:N112"/>
    <mergeCell ref="O112:Q112"/>
    <mergeCell ref="C109:E109"/>
    <mergeCell ref="F109:H109"/>
    <mergeCell ref="I109:K109"/>
    <mergeCell ref="L109:N109"/>
    <mergeCell ref="O109:Q109"/>
    <mergeCell ref="C110:E110"/>
    <mergeCell ref="F110:H110"/>
    <mergeCell ref="I110:K110"/>
    <mergeCell ref="L110:N110"/>
    <mergeCell ref="O110:Q110"/>
    <mergeCell ref="C107:E107"/>
    <mergeCell ref="F107:H107"/>
    <mergeCell ref="I107:K107"/>
    <mergeCell ref="L107:N107"/>
    <mergeCell ref="O107:Q107"/>
    <mergeCell ref="C108:E108"/>
    <mergeCell ref="F108:H108"/>
    <mergeCell ref="I108:K108"/>
    <mergeCell ref="L108:N108"/>
    <mergeCell ref="O108:Q108"/>
    <mergeCell ref="C105:E105"/>
    <mergeCell ref="F105:H105"/>
    <mergeCell ref="I105:K105"/>
    <mergeCell ref="L105:N105"/>
    <mergeCell ref="O105:Q105"/>
    <mergeCell ref="C106:E106"/>
    <mergeCell ref="F106:H106"/>
    <mergeCell ref="I106:K106"/>
    <mergeCell ref="L106:N106"/>
    <mergeCell ref="O106:Q106"/>
    <mergeCell ref="C102:E102"/>
    <mergeCell ref="F102:H102"/>
    <mergeCell ref="I102:K102"/>
    <mergeCell ref="L102:N102"/>
    <mergeCell ref="O102:Q102"/>
    <mergeCell ref="B103:N103"/>
    <mergeCell ref="O103:Q103"/>
    <mergeCell ref="C104:E104"/>
    <mergeCell ref="F104:H104"/>
    <mergeCell ref="I104:K104"/>
    <mergeCell ref="L104:N104"/>
    <mergeCell ref="O104:Q104"/>
    <mergeCell ref="C100:E100"/>
    <mergeCell ref="F100:H100"/>
    <mergeCell ref="I100:K100"/>
    <mergeCell ref="L100:N100"/>
    <mergeCell ref="O100:Q100"/>
    <mergeCell ref="C101:E101"/>
    <mergeCell ref="F101:H101"/>
    <mergeCell ref="I101:K101"/>
    <mergeCell ref="L101:N101"/>
    <mergeCell ref="O101:Q101"/>
    <mergeCell ref="C98:E98"/>
    <mergeCell ref="F98:H98"/>
    <mergeCell ref="I98:K98"/>
    <mergeCell ref="L98:N98"/>
    <mergeCell ref="O98:Q98"/>
    <mergeCell ref="C99:E99"/>
    <mergeCell ref="F99:H99"/>
    <mergeCell ref="I99:K99"/>
    <mergeCell ref="L99:N99"/>
    <mergeCell ref="O99:Q99"/>
    <mergeCell ref="C96:E96"/>
    <mergeCell ref="F96:H96"/>
    <mergeCell ref="I96:K96"/>
    <mergeCell ref="L96:N96"/>
    <mergeCell ref="O96:Q96"/>
    <mergeCell ref="C97:E97"/>
    <mergeCell ref="F97:H97"/>
    <mergeCell ref="I97:K97"/>
    <mergeCell ref="L97:N97"/>
    <mergeCell ref="O97:Q97"/>
    <mergeCell ref="C94:E94"/>
    <mergeCell ref="F94:H94"/>
    <mergeCell ref="I94:K94"/>
    <mergeCell ref="L94:N94"/>
    <mergeCell ref="O94:Q94"/>
    <mergeCell ref="C95:E95"/>
    <mergeCell ref="F95:H95"/>
    <mergeCell ref="I95:K95"/>
    <mergeCell ref="L95:N95"/>
    <mergeCell ref="O95:Q95"/>
    <mergeCell ref="C92:E92"/>
    <mergeCell ref="F92:H92"/>
    <mergeCell ref="I92:K92"/>
    <mergeCell ref="L92:N92"/>
    <mergeCell ref="O92:Q92"/>
    <mergeCell ref="C93:E93"/>
    <mergeCell ref="F93:H93"/>
    <mergeCell ref="I93:K93"/>
    <mergeCell ref="L93:N93"/>
    <mergeCell ref="O93:Q93"/>
    <mergeCell ref="C90:E90"/>
    <mergeCell ref="F90:H90"/>
    <mergeCell ref="I90:K90"/>
    <mergeCell ref="L90:N90"/>
    <mergeCell ref="O90:Q90"/>
    <mergeCell ref="C91:E91"/>
    <mergeCell ref="F91:H91"/>
    <mergeCell ref="I91:K91"/>
    <mergeCell ref="L91:N91"/>
    <mergeCell ref="O91:Q91"/>
    <mergeCell ref="C88:E88"/>
    <mergeCell ref="F88:H88"/>
    <mergeCell ref="I88:K88"/>
    <mergeCell ref="L88:N88"/>
    <mergeCell ref="O88:Q88"/>
    <mergeCell ref="C89:E89"/>
    <mergeCell ref="F89:H89"/>
    <mergeCell ref="I89:K89"/>
    <mergeCell ref="L89:N89"/>
    <mergeCell ref="O89:Q89"/>
    <mergeCell ref="C86:E86"/>
    <mergeCell ref="F86:H86"/>
    <mergeCell ref="I86:K86"/>
    <mergeCell ref="L86:N86"/>
    <mergeCell ref="O86:Q86"/>
    <mergeCell ref="C87:E87"/>
    <mergeCell ref="F87:H87"/>
    <mergeCell ref="I87:K87"/>
    <mergeCell ref="L87:N87"/>
    <mergeCell ref="O87:Q87"/>
    <mergeCell ref="C84:E84"/>
    <mergeCell ref="F84:H84"/>
    <mergeCell ref="I84:K84"/>
    <mergeCell ref="L84:N84"/>
    <mergeCell ref="O84:Q84"/>
    <mergeCell ref="C85:E85"/>
    <mergeCell ref="F85:H85"/>
    <mergeCell ref="I85:K85"/>
    <mergeCell ref="L85:N85"/>
    <mergeCell ref="O85:Q85"/>
    <mergeCell ref="C82:E82"/>
    <mergeCell ref="F82:H82"/>
    <mergeCell ref="I82:K82"/>
    <mergeCell ref="L82:N82"/>
    <mergeCell ref="O82:Q82"/>
    <mergeCell ref="C83:E83"/>
    <mergeCell ref="F83:H83"/>
    <mergeCell ref="I83:K83"/>
    <mergeCell ref="L83:N83"/>
    <mergeCell ref="O83:Q83"/>
    <mergeCell ref="C80:E80"/>
    <mergeCell ref="F80:H80"/>
    <mergeCell ref="I80:K80"/>
    <mergeCell ref="L80:N80"/>
    <mergeCell ref="O80:Q80"/>
    <mergeCell ref="C81:E81"/>
    <mergeCell ref="F81:H81"/>
    <mergeCell ref="I81:K81"/>
    <mergeCell ref="L81:N81"/>
    <mergeCell ref="O81:Q81"/>
    <mergeCell ref="C78:E78"/>
    <mergeCell ref="F78:H78"/>
    <mergeCell ref="I78:K78"/>
    <mergeCell ref="L78:N78"/>
    <mergeCell ref="O78:Q78"/>
    <mergeCell ref="C79:E79"/>
    <mergeCell ref="F79:H79"/>
    <mergeCell ref="I79:K79"/>
    <mergeCell ref="L79:N79"/>
    <mergeCell ref="O79:Q79"/>
    <mergeCell ref="C76:E76"/>
    <mergeCell ref="F76:H76"/>
    <mergeCell ref="I76:K76"/>
    <mergeCell ref="L76:N76"/>
    <mergeCell ref="O76:Q76"/>
    <mergeCell ref="C77:E77"/>
    <mergeCell ref="F77:H77"/>
    <mergeCell ref="I77:K77"/>
    <mergeCell ref="L77:N77"/>
    <mergeCell ref="O77:Q77"/>
    <mergeCell ref="B73:N73"/>
    <mergeCell ref="O73:Q73"/>
    <mergeCell ref="C74:E74"/>
    <mergeCell ref="F74:H74"/>
    <mergeCell ref="I74:K74"/>
    <mergeCell ref="L74:N74"/>
    <mergeCell ref="O74:Q74"/>
    <mergeCell ref="C75:E75"/>
    <mergeCell ref="F75:H75"/>
    <mergeCell ref="I75:K75"/>
    <mergeCell ref="L75:N75"/>
    <mergeCell ref="O75:Q75"/>
    <mergeCell ref="B68:O68"/>
    <mergeCell ref="B69:D69"/>
    <mergeCell ref="E69:G69"/>
    <mergeCell ref="H69:I69"/>
    <mergeCell ref="J69:L69"/>
    <mergeCell ref="M69:O69"/>
    <mergeCell ref="B70:O70"/>
    <mergeCell ref="B71:Q71"/>
    <mergeCell ref="C72:E72"/>
    <mergeCell ref="F72:H72"/>
    <mergeCell ref="I72:K72"/>
    <mergeCell ref="L72:N72"/>
    <mergeCell ref="O72:Q72"/>
    <mergeCell ref="B65:D65"/>
    <mergeCell ref="E65:G65"/>
    <mergeCell ref="H65:I65"/>
    <mergeCell ref="J65:L65"/>
    <mergeCell ref="M65:O65"/>
    <mergeCell ref="B66:O66"/>
    <mergeCell ref="B67:D67"/>
    <mergeCell ref="E67:G67"/>
    <mergeCell ref="H67:I67"/>
    <mergeCell ref="J67:L67"/>
    <mergeCell ref="M67:O67"/>
    <mergeCell ref="B61:O61"/>
    <mergeCell ref="B62:D62"/>
    <mergeCell ref="E62:G62"/>
    <mergeCell ref="H62:I62"/>
    <mergeCell ref="J62:L62"/>
    <mergeCell ref="M62:O62"/>
    <mergeCell ref="B63:O63"/>
    <mergeCell ref="B64:D64"/>
    <mergeCell ref="E64:G64"/>
    <mergeCell ref="H64:I64"/>
    <mergeCell ref="J64:L64"/>
    <mergeCell ref="M64:O64"/>
    <mergeCell ref="B59:D59"/>
    <mergeCell ref="E59:G59"/>
    <mergeCell ref="H59:I59"/>
    <mergeCell ref="J59:L59"/>
    <mergeCell ref="M59:O59"/>
    <mergeCell ref="B60:D60"/>
    <mergeCell ref="E60:G60"/>
    <mergeCell ref="H60:I60"/>
    <mergeCell ref="J60:L60"/>
    <mergeCell ref="M60:O60"/>
    <mergeCell ref="B57:D57"/>
    <mergeCell ref="E57:G57"/>
    <mergeCell ref="H57:I57"/>
    <mergeCell ref="J57:L57"/>
    <mergeCell ref="M57:O57"/>
    <mergeCell ref="B58:D58"/>
    <mergeCell ref="E58:G58"/>
    <mergeCell ref="H58:I58"/>
    <mergeCell ref="J58:L58"/>
    <mergeCell ref="M58:O58"/>
    <mergeCell ref="B55:D55"/>
    <mergeCell ref="E55:G55"/>
    <mergeCell ref="H55:I55"/>
    <mergeCell ref="J55:L55"/>
    <mergeCell ref="M55:O55"/>
    <mergeCell ref="B56:D56"/>
    <mergeCell ref="E56:G56"/>
    <mergeCell ref="H56:I56"/>
    <mergeCell ref="J56:L56"/>
    <mergeCell ref="M56:O56"/>
    <mergeCell ref="B53:D53"/>
    <mergeCell ref="E53:G53"/>
    <mergeCell ref="H53:I53"/>
    <mergeCell ref="J53:L53"/>
    <mergeCell ref="M53:O53"/>
    <mergeCell ref="B54:D54"/>
    <mergeCell ref="E54:G54"/>
    <mergeCell ref="H54:I54"/>
    <mergeCell ref="J54:L54"/>
    <mergeCell ref="M54:O54"/>
    <mergeCell ref="B51:D51"/>
    <mergeCell ref="E51:G51"/>
    <mergeCell ref="H51:I51"/>
    <mergeCell ref="J51:L51"/>
    <mergeCell ref="M51:O51"/>
    <mergeCell ref="B52:D52"/>
    <mergeCell ref="E52:G52"/>
    <mergeCell ref="H52:I52"/>
    <mergeCell ref="J52:L52"/>
    <mergeCell ref="M52:O52"/>
    <mergeCell ref="B49:D49"/>
    <mergeCell ref="E49:G49"/>
    <mergeCell ref="H49:I49"/>
    <mergeCell ref="J49:L49"/>
    <mergeCell ref="M49:O49"/>
    <mergeCell ref="B50:D50"/>
    <mergeCell ref="E50:G50"/>
    <mergeCell ref="H50:I50"/>
    <mergeCell ref="J50:L50"/>
    <mergeCell ref="M50:O50"/>
    <mergeCell ref="B47:D47"/>
    <mergeCell ref="E47:G47"/>
    <mergeCell ref="H47:I47"/>
    <mergeCell ref="J47:L47"/>
    <mergeCell ref="M47:O47"/>
    <mergeCell ref="B48:D48"/>
    <mergeCell ref="E48:G48"/>
    <mergeCell ref="H48:I48"/>
    <mergeCell ref="J48:L48"/>
    <mergeCell ref="M48:O48"/>
    <mergeCell ref="B45:D45"/>
    <mergeCell ref="E45:G45"/>
    <mergeCell ref="H45:I45"/>
    <mergeCell ref="J45:L45"/>
    <mergeCell ref="M45:O45"/>
    <mergeCell ref="B46:D46"/>
    <mergeCell ref="E46:G46"/>
    <mergeCell ref="H46:I46"/>
    <mergeCell ref="J46:L46"/>
    <mergeCell ref="M46:O46"/>
    <mergeCell ref="B43:D43"/>
    <mergeCell ref="E43:G43"/>
    <mergeCell ref="H43:I43"/>
    <mergeCell ref="J43:L43"/>
    <mergeCell ref="M43:O43"/>
    <mergeCell ref="B44:D44"/>
    <mergeCell ref="E44:G44"/>
    <mergeCell ref="H44:I44"/>
    <mergeCell ref="J44:L44"/>
    <mergeCell ref="M44:O44"/>
    <mergeCell ref="B41:D41"/>
    <mergeCell ref="E41:G41"/>
    <mergeCell ref="H41:I41"/>
    <mergeCell ref="J41:L41"/>
    <mergeCell ref="M41:O41"/>
    <mergeCell ref="B42:D42"/>
    <mergeCell ref="E42:G42"/>
    <mergeCell ref="H42:I42"/>
    <mergeCell ref="J42:L42"/>
    <mergeCell ref="M42:O42"/>
    <mergeCell ref="B38:D38"/>
    <mergeCell ref="E38:G38"/>
    <mergeCell ref="H38:I38"/>
    <mergeCell ref="J38:L38"/>
    <mergeCell ref="M38:O38"/>
    <mergeCell ref="P38:R38"/>
    <mergeCell ref="B39:O39"/>
    <mergeCell ref="P39:R39"/>
    <mergeCell ref="B40:D40"/>
    <mergeCell ref="E40:G40"/>
    <mergeCell ref="H40:I40"/>
    <mergeCell ref="J40:L40"/>
    <mergeCell ref="M40:O40"/>
    <mergeCell ref="B36:D36"/>
    <mergeCell ref="E36:G36"/>
    <mergeCell ref="H36:I36"/>
    <mergeCell ref="J36:L36"/>
    <mergeCell ref="M36:O36"/>
    <mergeCell ref="P36:R36"/>
    <mergeCell ref="B37:D37"/>
    <mergeCell ref="E37:G37"/>
    <mergeCell ref="H37:I37"/>
    <mergeCell ref="J37:L37"/>
    <mergeCell ref="M37:O37"/>
    <mergeCell ref="P37:R37"/>
    <mergeCell ref="B34:D34"/>
    <mergeCell ref="E34:G34"/>
    <mergeCell ref="H34:I34"/>
    <mergeCell ref="J34:L34"/>
    <mergeCell ref="M34:O34"/>
    <mergeCell ref="P34:R34"/>
    <mergeCell ref="B35:D35"/>
    <mergeCell ref="E35:G35"/>
    <mergeCell ref="H35:I35"/>
    <mergeCell ref="J35:L35"/>
    <mergeCell ref="M35:O35"/>
    <mergeCell ref="P35:R35"/>
    <mergeCell ref="B32:D32"/>
    <mergeCell ref="E32:G32"/>
    <mergeCell ref="H32:I32"/>
    <mergeCell ref="J32:L32"/>
    <mergeCell ref="M32:O32"/>
    <mergeCell ref="P32:R32"/>
    <mergeCell ref="B33:D33"/>
    <mergeCell ref="E33:G33"/>
    <mergeCell ref="H33:I33"/>
    <mergeCell ref="J33:L33"/>
    <mergeCell ref="M33:O33"/>
    <mergeCell ref="P33:R33"/>
    <mergeCell ref="B30:D30"/>
    <mergeCell ref="E30:G30"/>
    <mergeCell ref="H30:I30"/>
    <mergeCell ref="J30:L30"/>
    <mergeCell ref="M30:O30"/>
    <mergeCell ref="P30:R30"/>
    <mergeCell ref="B31:D31"/>
    <mergeCell ref="E31:G31"/>
    <mergeCell ref="H31:I31"/>
    <mergeCell ref="J31:L31"/>
    <mergeCell ref="M31:O31"/>
    <mergeCell ref="P31:R31"/>
    <mergeCell ref="B28:D28"/>
    <mergeCell ref="E28:G28"/>
    <mergeCell ref="H28:I28"/>
    <mergeCell ref="J28:L28"/>
    <mergeCell ref="M28:O28"/>
    <mergeCell ref="P28:R28"/>
    <mergeCell ref="B29:D29"/>
    <mergeCell ref="E29:G29"/>
    <mergeCell ref="H29:I29"/>
    <mergeCell ref="J29:L29"/>
    <mergeCell ref="M29:O29"/>
    <mergeCell ref="P29:R29"/>
    <mergeCell ref="B26:D26"/>
    <mergeCell ref="E26:G26"/>
    <mergeCell ref="H26:I26"/>
    <mergeCell ref="J26:L26"/>
    <mergeCell ref="M26:O26"/>
    <mergeCell ref="P26:R26"/>
    <mergeCell ref="B27:D27"/>
    <mergeCell ref="E27:G27"/>
    <mergeCell ref="H27:I27"/>
    <mergeCell ref="J27:L27"/>
    <mergeCell ref="M27:O27"/>
    <mergeCell ref="P27:R27"/>
    <mergeCell ref="B24:D24"/>
    <mergeCell ref="E24:G24"/>
    <mergeCell ref="H24:I24"/>
    <mergeCell ref="J24:L24"/>
    <mergeCell ref="M24:O24"/>
    <mergeCell ref="P24:R24"/>
    <mergeCell ref="B25:D25"/>
    <mergeCell ref="E25:G25"/>
    <mergeCell ref="H25:I25"/>
    <mergeCell ref="J25:L25"/>
    <mergeCell ref="M25:O25"/>
    <mergeCell ref="P25:R25"/>
    <mergeCell ref="B22:D22"/>
    <mergeCell ref="E22:G22"/>
    <mergeCell ref="H22:I22"/>
    <mergeCell ref="J22:L22"/>
    <mergeCell ref="M22:O22"/>
    <mergeCell ref="P22:R22"/>
    <mergeCell ref="B23:D23"/>
    <mergeCell ref="E23:G23"/>
    <mergeCell ref="H23:I23"/>
    <mergeCell ref="J23:L23"/>
    <mergeCell ref="M23:O23"/>
    <mergeCell ref="P23:R23"/>
    <mergeCell ref="B20:D20"/>
    <mergeCell ref="E20:G20"/>
    <mergeCell ref="H20:I20"/>
    <mergeCell ref="J20:L20"/>
    <mergeCell ref="M20:O20"/>
    <mergeCell ref="P20:R20"/>
    <mergeCell ref="B21:D21"/>
    <mergeCell ref="E21:G21"/>
    <mergeCell ref="H21:I21"/>
    <mergeCell ref="J21:L21"/>
    <mergeCell ref="M21:O21"/>
    <mergeCell ref="P21:R21"/>
    <mergeCell ref="B18:D18"/>
    <mergeCell ref="E18:G18"/>
    <mergeCell ref="H18:I18"/>
    <mergeCell ref="J18:L18"/>
    <mergeCell ref="M18:O18"/>
    <mergeCell ref="P18:R18"/>
    <mergeCell ref="B19:D19"/>
    <mergeCell ref="E19:G19"/>
    <mergeCell ref="H19:I19"/>
    <mergeCell ref="J19:L19"/>
    <mergeCell ref="M19:O19"/>
    <mergeCell ref="P19:R19"/>
    <mergeCell ref="B16:D16"/>
    <mergeCell ref="E16:G16"/>
    <mergeCell ref="H16:I16"/>
    <mergeCell ref="J16:L16"/>
    <mergeCell ref="M16:O16"/>
    <mergeCell ref="P16:R16"/>
    <mergeCell ref="B17:D17"/>
    <mergeCell ref="E17:G17"/>
    <mergeCell ref="H17:I17"/>
    <mergeCell ref="J17:L17"/>
    <mergeCell ref="M17:O17"/>
    <mergeCell ref="P17:R17"/>
    <mergeCell ref="B14:D14"/>
    <mergeCell ref="E14:G14"/>
    <mergeCell ref="H14:I14"/>
    <mergeCell ref="J14:L14"/>
    <mergeCell ref="M14:O14"/>
    <mergeCell ref="P14:R14"/>
    <mergeCell ref="B15:D15"/>
    <mergeCell ref="E15:G15"/>
    <mergeCell ref="H15:I15"/>
    <mergeCell ref="J15:L15"/>
    <mergeCell ref="M15:O15"/>
    <mergeCell ref="P15:R15"/>
    <mergeCell ref="B12:D12"/>
    <mergeCell ref="E12:G12"/>
    <mergeCell ref="H12:I12"/>
    <mergeCell ref="J12:L12"/>
    <mergeCell ref="M12:O12"/>
    <mergeCell ref="P12:R12"/>
    <mergeCell ref="B13:D13"/>
    <mergeCell ref="E13:G13"/>
    <mergeCell ref="H13:I13"/>
    <mergeCell ref="J13:L13"/>
    <mergeCell ref="M13:O13"/>
    <mergeCell ref="P13:R13"/>
    <mergeCell ref="B10:D10"/>
    <mergeCell ref="E10:G10"/>
    <mergeCell ref="H10:I10"/>
    <mergeCell ref="J10:L10"/>
    <mergeCell ref="M10:O10"/>
    <mergeCell ref="P10:R10"/>
    <mergeCell ref="B11:D11"/>
    <mergeCell ref="E11:G11"/>
    <mergeCell ref="H11:I11"/>
    <mergeCell ref="J11:L11"/>
    <mergeCell ref="M11:O11"/>
    <mergeCell ref="P11:R11"/>
    <mergeCell ref="B8:D8"/>
    <mergeCell ref="E8:G8"/>
    <mergeCell ref="H8:I8"/>
    <mergeCell ref="J8:L8"/>
    <mergeCell ref="M8:O8"/>
    <mergeCell ref="P8:R8"/>
    <mergeCell ref="B9:D9"/>
    <mergeCell ref="E9:G9"/>
    <mergeCell ref="H9:I9"/>
    <mergeCell ref="J9:L9"/>
    <mergeCell ref="M9:O9"/>
    <mergeCell ref="P9:R9"/>
    <mergeCell ref="B6:D6"/>
    <mergeCell ref="E6:G6"/>
    <mergeCell ref="H6:I6"/>
    <mergeCell ref="J6:L6"/>
    <mergeCell ref="M6:O6"/>
    <mergeCell ref="P6:R6"/>
    <mergeCell ref="B7:D7"/>
    <mergeCell ref="E7:G7"/>
    <mergeCell ref="H7:I7"/>
    <mergeCell ref="J7:L7"/>
    <mergeCell ref="M7:O7"/>
    <mergeCell ref="P7:R7"/>
    <mergeCell ref="B4:D4"/>
    <mergeCell ref="E4:G4"/>
    <mergeCell ref="H4:I4"/>
    <mergeCell ref="J4:L4"/>
    <mergeCell ref="M4:O4"/>
    <mergeCell ref="P4:R4"/>
    <mergeCell ref="B5:D5"/>
    <mergeCell ref="E5:G5"/>
    <mergeCell ref="H5:I5"/>
    <mergeCell ref="J5:L5"/>
    <mergeCell ref="M5:O5"/>
    <mergeCell ref="P5:R5"/>
    <mergeCell ref="B1:R1"/>
    <mergeCell ref="B2:D2"/>
    <mergeCell ref="E2:G2"/>
    <mergeCell ref="H2:I2"/>
    <mergeCell ref="J2:L2"/>
    <mergeCell ref="M2:O2"/>
    <mergeCell ref="P2:R2"/>
    <mergeCell ref="B3:O3"/>
    <mergeCell ref="P3:R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Master Pricing List</dc:title>
  <cp:lastModifiedBy>cadeL Kadell</cp:lastModifiedBy>
  <dcterms:created xsi:type="dcterms:W3CDTF">2026-02-12T18:25:03Z</dcterms:created>
  <dcterms:modified xsi:type="dcterms:W3CDTF">2026-02-12T21:29:03Z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2026-02-12T00:00:00Z</vt:filetime>
  </property>
  <property fmtid="{D5CDD505-2E9C-101B-9397-08002B2CF9AE}" pid="3" name="Creator">
    <vt:lpwstr>Google Sheets</vt:lpwstr>
  </property>
  <property fmtid="{D5CDD505-2E9C-101B-9397-08002B2CF9AE}" pid="4" name="LastSaved">
    <vt:filetime>2026-02-12T00:00:00Z</vt:filetime>
  </property>
</Properties>
</file>